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5c488f33c4a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100_Kernels" sheetId="1" r:id="R94f7379ef59c4f46"/>
    <x:sheet xmlns:r="http://schemas.openxmlformats.org/officeDocument/2006/relationships" name="Summary" sheetId="2" r:id="R91740403c42241ea"/>
    <x:sheet xmlns:r="http://schemas.openxmlformats.org/officeDocument/2006/relationships" name="License_Notes" sheetId="3" r:id="Rcf1413643ed74613"/>
    <x:sheet xmlns:r="http://schemas.openxmlformats.org/officeDocument/2006/relationships" name="Benchmark_Extraction_Guide" sheetId="4" r:id="R9ca9da93c0d446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a6ba50d344d92" /><Relationship Type="http://schemas.openxmlformats.org/officeDocument/2006/relationships/theme" Target="/xl/theme/theme1.xml" Id="R286045f8f3f34469" /><Relationship Type="http://schemas.openxmlformats.org/officeDocument/2006/relationships/sharedStrings" Target="/xl/sharedStrings.xml" Id="R992807ec06be455c" /><Relationship Type="http://schemas.openxmlformats.org/officeDocument/2006/relationships/worksheet" Target="/xl/worksheets/sheet1.xml" Id="R94f7379ef59c4f46" /><Relationship Type="http://schemas.openxmlformats.org/officeDocument/2006/relationships/worksheet" Target="/xl/worksheets/sheet2.xml" Id="R91740403c42241ea" /><Relationship Type="http://schemas.openxmlformats.org/officeDocument/2006/relationships/worksheet" Target="/xl/worksheets/sheet3.xml" Id="Rcf1413643ed74613" /><Relationship Type="http://schemas.openxmlformats.org/officeDocument/2006/relationships/worksheet" Target="/xl/worksheets/sheet4.xml" Id="R9ca9da93c0d4465a" /></Relationships>
</file>

<file path=xl/tables/table1.xml><?xml version="1.0" encoding="utf-8"?>
<x:table xmlns:x="http://schemas.openxmlformats.org/spreadsheetml/2006/main" id="1" name="KernelTop100Table" displayName="KernelTop100Table" ref="A1:S101" headerRowCount="1">
  <x:tableColumns count="19">
    <x:tableColumn id="1" name="ID"/>
    <x:tableColumn id="2" name="Repository"/>
    <x:tableColumn id="3" name="Repo URL"/>
    <x:tableColumn id="4" name="Source URL"/>
    <x:tableColumn id="5" name="Path"/>
    <x:tableColumn id="6" name="Kernel / Operator"/>
    <x:tableColumn id="7" name="Direction"/>
    <x:tableColumn id="8" name="Category"/>
    <x:tableColumn id="9" name="Why this is hard/useful"/>
    <x:tableColumn id="10" name="Difficulty (1-5)"/>
    <x:tableColumn id="11" name="Extractability (1-5)"/>
    <x:tableColumn id="12" name="Verification ease (1-5)"/>
    <x:tableColumn id="13" name="Input → Output contract"/>
    <x:tableColumn id="14" name="Suggested reference baseline"/>
    <x:tableColumn id="15" name="License"/>
    <x:tableColumn id="16" name="License source URL"/>
    <x:tableColumn id="17" name="License caveat / action"/>
    <x:tableColumn id="18" name="Path confidence"/>
    <x:tableColumn id="19" name="Priority sco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42e03c97b94d68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50" hidden="0" customWidth="1"/>
    <x:col min="5" max="5" width="44" hidden="0" customWidth="1"/>
    <x:col min="6" max="6" width="24" hidden="0" customWidth="1"/>
    <x:col min="7" max="7" width="24" hidden="0" customWidth="1"/>
    <x:col min="8" max="8" width="24" hidden="0" customWidth="1"/>
    <x:col min="9" max="9" width="44" hidden="0" customWidth="1"/>
    <x:col min="10" max="10" width="12" hidden="0" customWidth="1"/>
    <x:col min="11" max="11" width="14" hidden="0" customWidth="1"/>
    <x:col min="12" max="12" width="14" hidden="0" customWidth="1"/>
    <x:col min="13" max="13" width="42" hidden="0" customWidth="1"/>
    <x:col min="14" max="14" width="42" hidden="0" customWidth="1"/>
    <x:col min="15" max="15" width="20" hidden="0" customWidth="1"/>
    <x:col min="16" max="16" width="38" hidden="0" customWidth="1"/>
    <x:col min="17" max="17" width="42" hidden="0" customWidth="1"/>
    <x:col min="18" max="18" width="16" hidden="0" customWidth="1"/>
    <x:col min="19" max="19" width="13" hidden="0" customWidth="1"/>
  </x:cols>
  <x:sheetData>
    <x:row r="1" ht="30" customHeight="1">
      <x:c r="A1" s="14" t="str">
        <x:v>ID</x:v>
      </x:c>
      <x:c r="B1" s="14" t="str">
        <x:v>Repository</x:v>
      </x:c>
      <x:c r="C1" s="14" t="str">
        <x:v>Repo URL</x:v>
      </x:c>
      <x:c r="D1" s="14" t="str">
        <x:v>Source URL</x:v>
      </x:c>
      <x:c r="E1" s="14" t="str">
        <x:v>Path</x:v>
      </x:c>
      <x:c r="F1" s="14" t="str">
        <x:v>Kernel / Operator</x:v>
      </x:c>
      <x:c r="G1" s="14" t="str">
        <x:v>Direction</x:v>
      </x:c>
      <x:c r="H1" s="14" t="str">
        <x:v>Category</x:v>
      </x:c>
      <x:c r="I1" s="14" t="str">
        <x:v>Why this is hard/useful</x:v>
      </x:c>
      <x:c r="J1" s="14" t="str">
        <x:v>Difficulty (1-5)</x:v>
      </x:c>
      <x:c r="K1" s="14" t="str">
        <x:v>Extractability (1-5)</x:v>
      </x:c>
      <x:c r="L1" s="14" t="str">
        <x:v>Verification ease (1-5)</x:v>
      </x:c>
      <x:c r="M1" s="14" t="str">
        <x:v>Input → Output contract</x:v>
      </x:c>
      <x:c r="N1" s="14" t="str">
        <x:v>Suggested reference baseline</x:v>
      </x:c>
      <x:c r="O1" s="14" t="str">
        <x:v>License</x:v>
      </x:c>
      <x:c r="P1" s="14" t="str">
        <x:v>License source URL</x:v>
      </x:c>
      <x:c r="Q1" s="14" t="str">
        <x:v>License caveat / action</x:v>
      </x:c>
      <x:c r="R1" s="14" t="str">
        <x:v>Path confidence</x:v>
      </x:c>
      <x:c r="S1" s="14" t="str">
        <x:v>Priority score</x:v>
      </x:c>
    </x:row>
    <x:row r="2" ht="54" customHeight="1">
      <x:c r="A2" s="15" t="str">
        <x:v>K001</x:v>
      </x:c>
      <x:c r="B2" s="15" t="str">
        <x:v>NVIDIA/DALI</x:v>
      </x:c>
      <x:c r="C2" s="15" t="str">
        <x:v>https://github.com/NVIDIA/DALI</x:v>
      </x:c>
      <x:c r="D2" s="15" t="str">
        <x:v>https://github.com/NVIDIA/DALI/blob/main/dali/operators/color/color_twist.cu</x:v>
      </x:c>
      <x:c r="E2" s="15" t="str">
        <x:v>dali/operators/color/color_twist.cu</x:v>
      </x:c>
      <x:c r="F2" s="15" t="str">
        <x:v>ColorTwist</x:v>
      </x:c>
      <x:c r="G2" s="15" t="str">
        <x:v>image augmentation</x:v>
      </x:c>
      <x:c r="H2" s="15" t="str">
        <x:v>color transform</x:v>
      </x:c>
      <x:c r="I2" s="15" t="str">
        <x:v>Per-pixel RGB/HSV-like transform; multi-channel layout and type handling</x:v>
      </x:c>
      <x:c r="J2" s="15" t="n">
        <x:v>3</x:v>
      </x:c>
      <x:c r="K2" s="15" t="n">
        <x:v>5</x:v>
      </x:c>
      <x:c r="L2" s="15" t="n">
        <x:v>5</x:v>
      </x:c>
      <x:c r="M2" s="15" t="str">
        <x:v>input image/tensor batch + brightness/contrast/hue/saturation parameters -&gt; transformed image batch</x:v>
      </x:c>
      <x:c r="N2" s="15" t="str">
        <x:v>DALI/Python operator output or CPU NumPy reference</x:v>
      </x:c>
      <x:c r="O2" s="15" t="str">
        <x:v>Apache-2.0</x:v>
      </x:c>
      <x:c r="P2" s="15" t="str">
        <x:v>https://github.com/NVIDIA/DALI/blob/main/LICENSE</x:v>
      </x:c>
      <x:c r="Q2" s="15" t="str"/>
      <x:c r="R2" s="15" t="str">
        <x:v>High</x:v>
      </x:c>
      <x:c r="S2" s="15" t="n">
        <x:f>ROUND(0.45*J2+0.25*K2+0.2*L2+0.1*IF(OR(O2="Apache-2.0",O2="BSD-3-Clause",LEFT(O2,3)="BSD"),5,3),2)</x:f>
        <x:v>4.1</x:v>
      </x:c>
    </x:row>
    <x:row r="3" ht="54" customHeight="1">
      <x:c r="A3" s="15" t="str">
        <x:v>K002</x:v>
      </x:c>
      <x:c r="B3" s="15" t="str">
        <x:v>NVIDIA/DALI</x:v>
      </x:c>
      <x:c r="C3" s="15" t="str">
        <x:v>https://github.com/NVIDIA/DALI</x:v>
      </x:c>
      <x:c r="D3" s="15" t="str">
        <x:v>https://github.com/NVIDIA/DALI/blob/main/dali/operators/color_space/color_space_conversion.cu</x:v>
      </x:c>
      <x:c r="E3" s="15" t="str">
        <x:v>dali/operators/color_space/color_space_conversion.cu</x:v>
      </x:c>
      <x:c r="F3" s="15" t="str">
        <x:v>ColorSpaceConversion</x:v>
      </x:c>
      <x:c r="G3" s="15" t="str">
        <x:v>image preprocessing</x:v>
      </x:c>
      <x:c r="H3" s="15" t="str">
        <x:v>color conversion</x:v>
      </x:c>
      <x:c r="I3" s="15" t="str">
        <x:v>Branch-heavy RGB/BGR/YCbCr/HSV conversions, channel reorder, data type casts</x:v>
      </x:c>
      <x:c r="J3" s="15" t="n">
        <x:v>3</x:v>
      </x:c>
      <x:c r="K3" s="15" t="n">
        <x:v>5</x:v>
      </x:c>
      <x:c r="L3" s="15" t="n">
        <x:v>5</x:v>
      </x:c>
      <x:c r="M3" s="15" t="str">
        <x:v>image batch in source color space -&gt; image batch in target color space</x:v>
      </x:c>
      <x:c r="N3" s="15" t="str">
        <x:v>OpenCV cvtColor or DALI CPU/GPU comparison</x:v>
      </x:c>
      <x:c r="O3" s="15" t="str">
        <x:v>Apache-2.0</x:v>
      </x:c>
      <x:c r="P3" s="15" t="str">
        <x:v>https://github.com/NVIDIA/DALI/blob/main/LICENSE</x:v>
      </x:c>
      <x:c r="Q3" s="15" t="str"/>
      <x:c r="R3" s="15" t="str">
        <x:v>High</x:v>
      </x:c>
      <x:c r="S3" s="15" t="n">
        <x:f>ROUND(0.45*J3+0.25*K3+0.2*L3+0.1*IF(OR(O3="Apache-2.0",O3="BSD-3-Clause",LEFT(O3,3)="BSD"),5,3),2)</x:f>
        <x:v>4.1</x:v>
      </x:c>
    </x:row>
    <x:row r="4" ht="54" customHeight="1">
      <x:c r="A4" s="15" t="str">
        <x:v>K003</x:v>
      </x:c>
      <x:c r="B4" s="15" t="str">
        <x:v>NVIDIA/DALI</x:v>
      </x:c>
      <x:c r="C4" s="15" t="str">
        <x:v>https://github.com/NVIDIA/DALI</x:v>
      </x:c>
      <x:c r="D4" s="15" t="str">
        <x:v>https://github.com/NVIDIA/DALI/blob/main/dali/operators/crop/crop.cu</x:v>
      </x:c>
      <x:c r="E4" s="15" t="str">
        <x:v>dali/operators/crop/crop.cu</x:v>
      </x:c>
      <x:c r="F4" s="15" t="str">
        <x:v>Crop</x:v>
      </x:c>
      <x:c r="G4" s="15" t="str">
        <x:v>image preprocessing</x:v>
      </x:c>
      <x:c r="H4" s="15" t="str">
        <x:v>crop/slice</x:v>
      </x:c>
      <x:c r="I4" s="15" t="str">
        <x:v>ROI indexing, layout/stride edge cases, batched variable shapes</x:v>
      </x:c>
      <x:c r="J4" s="15" t="n">
        <x:v>2</x:v>
      </x:c>
      <x:c r="K4" s="15" t="n">
        <x:v>5</x:v>
      </x:c>
      <x:c r="L4" s="15" t="n">
        <x:v>5</x:v>
      </x:c>
      <x:c r="M4" s="15" t="str">
        <x:v>image/tensor batch + ROI boxes -&gt; cropped tensor batch</x:v>
      </x:c>
      <x:c r="N4" s="15" t="str">
        <x:v>NumPy slicing reference</x:v>
      </x:c>
      <x:c r="O4" s="15" t="str">
        <x:v>Apache-2.0</x:v>
      </x:c>
      <x:c r="P4" s="15" t="str">
        <x:v>https://github.com/NVIDIA/DALI/blob/main/LICENSE</x:v>
      </x:c>
      <x:c r="Q4" s="15" t="str"/>
      <x:c r="R4" s="15" t="str">
        <x:v>High</x:v>
      </x:c>
      <x:c r="S4" s="15" t="n">
        <x:f>ROUND(0.45*J4+0.25*K4+0.2*L4+0.1*IF(OR(O4="Apache-2.0",O4="BSD-3-Clause",LEFT(O4,3)="BSD"),5,3),2)</x:f>
        <x:v>3.65</x:v>
      </x:c>
    </x:row>
    <x:row r="5" ht="54" customHeight="1">
      <x:c r="A5" s="15" t="str">
        <x:v>K004</x:v>
      </x:c>
      <x:c r="B5" s="15" t="str">
        <x:v>NVIDIA/DALI</x:v>
      </x:c>
      <x:c r="C5" s="15" t="str">
        <x:v>https://github.com/NVIDIA/DALI</x:v>
      </x:c>
      <x:c r="D5" s="15" t="str">
        <x:v>https://github.com/NVIDIA/DALI/blob/main/dali/operators/crop/slice.cu</x:v>
      </x:c>
      <x:c r="E5" s="15" t="str">
        <x:v>dali/operators/crop/slice.cu</x:v>
      </x:c>
      <x:c r="F5" s="15" t="str">
        <x:v>Slice</x:v>
      </x:c>
      <x:c r="G5" s="15" t="str">
        <x:v>tensor/image preprocessing</x:v>
      </x:c>
      <x:c r="H5" s="15" t="str">
        <x:v>slice</x:v>
      </x:c>
      <x:c r="I5" s="15" t="str">
        <x:v>Generic N-D slice, arbitrary axes/strides; good for pointer arithmetic translation</x:v>
      </x:c>
      <x:c r="J5" s="15" t="n">
        <x:v>3</x:v>
      </x:c>
      <x:c r="K5" s="15" t="n">
        <x:v>4</x:v>
      </x:c>
      <x:c r="L5" s="15" t="n">
        <x:v>5</x:v>
      </x:c>
      <x:c r="M5" s="15" t="str">
        <x:v>N-D tensor batch + anchors/shapes -&gt; sliced tensor batch</x:v>
      </x:c>
      <x:c r="N5" s="15" t="str">
        <x:v>NumPy slicing reference</x:v>
      </x:c>
      <x:c r="O5" s="15" t="str">
        <x:v>Apache-2.0</x:v>
      </x:c>
      <x:c r="P5" s="15" t="str">
        <x:v>https://github.com/NVIDIA/DALI/blob/main/LICENSE</x:v>
      </x:c>
      <x:c r="Q5" s="15" t="str"/>
      <x:c r="R5" s="15" t="str">
        <x:v>High</x:v>
      </x:c>
      <x:c r="S5" s="15" t="n">
        <x:f>ROUND(0.45*J5+0.25*K5+0.2*L5+0.1*IF(OR(O5="Apache-2.0",O5="BSD-3-Clause",LEFT(O5,3)="BSD"),5,3),2)</x:f>
        <x:v>3.85</x:v>
      </x:c>
    </x:row>
    <x:row r="6" ht="54" customHeight="1">
      <x:c r="A6" s="15" t="str">
        <x:v>K005</x:v>
      </x:c>
      <x:c r="B6" s="15" t="str">
        <x:v>NVIDIA/DALI</x:v>
      </x:c>
      <x:c r="C6" s="15" t="str">
        <x:v>https://github.com/NVIDIA/DALI</x:v>
      </x:c>
      <x:c r="D6" s="15" t="str">
        <x:v>https://github.com/NVIDIA/DALI/blob/main/dali/operators/crop/slice_base.cu</x:v>
      </x:c>
      <x:c r="E6" s="15" t="str">
        <x:v>dali/operators/crop/slice_base.cu</x:v>
      </x:c>
      <x:c r="F6" s="15" t="str">
        <x:v>SliceBase</x:v>
      </x:c>
      <x:c r="G6" s="15" t="str">
        <x:v>tensor/image preprocessing</x:v>
      </x:c>
      <x:c r="H6" s="15" t="str">
        <x:v>slice backend</x:v>
      </x:c>
      <x:c r="I6" s="15" t="str">
        <x:v>Lower-level slice scheduler; exposes shape metadata and indexing complexity</x:v>
      </x:c>
      <x:c r="J6" s="15" t="n">
        <x:v>3</x:v>
      </x:c>
      <x:c r="K6" s="15" t="n">
        <x:v>3</x:v>
      </x:c>
      <x:c r="L6" s="15" t="n">
        <x:v>4</x:v>
      </x:c>
      <x:c r="M6" s="15" t="str">
        <x:v>N-D tensor + slice descriptors -&gt; output tensor</x:v>
      </x:c>
      <x:c r="N6" s="15" t="str">
        <x:v>Compare with Slice front-end / NumPy reference</x:v>
      </x:c>
      <x:c r="O6" s="15" t="str">
        <x:v>Apache-2.0</x:v>
      </x:c>
      <x:c r="P6" s="15" t="str">
        <x:v>https://github.com/NVIDIA/DALI/blob/main/LICENSE</x:v>
      </x:c>
      <x:c r="Q6" s="15" t="str"/>
      <x:c r="R6" s="15" t="str">
        <x:v>High</x:v>
      </x:c>
      <x:c r="S6" s="15" t="n">
        <x:f>ROUND(0.45*J6+0.25*K6+0.2*L6+0.1*IF(OR(O6="Apache-2.0",O6="BSD-3-Clause",LEFT(O6,3)="BSD"),5,3),2)</x:f>
        <x:v>3.4</x:v>
      </x:c>
    </x:row>
    <x:row r="7" ht="54" customHeight="1">
      <x:c r="A7" s="15" t="str">
        <x:v>K006</x:v>
      </x:c>
      <x:c r="B7" s="15" t="str">
        <x:v>NVIDIA/DALI</x:v>
      </x:c>
      <x:c r="C7" s="15" t="str">
        <x:v>https://github.com/NVIDIA/DALI</x:v>
      </x:c>
      <x:c r="D7" s="15" t="str">
        <x:v>https://github.com/NVIDIA/DALI/blob/main/dali/operators/detection/box_encoder.cu</x:v>
      </x:c>
      <x:c r="E7" s="15" t="str">
        <x:v>dali/operators/detection/box_encoder.cu</x:v>
      </x:c>
      <x:c r="F7" s="15" t="str">
        <x:v>BoxEncoder</x:v>
      </x:c>
      <x:c r="G7" s="15" t="str">
        <x:v>object detection</x:v>
      </x:c>
      <x:c r="H7" s="15" t="str">
        <x:v>bbox transform</x:v>
      </x:c>
      <x:c r="I7" s="15" t="str">
        <x:v>Anchor matching/encoding, conditionals and reductions over boxes</x:v>
      </x:c>
      <x:c r="J7" s="15" t="n">
        <x:v>4</x:v>
      </x:c>
      <x:c r="K7" s="15" t="n">
        <x:v>4</x:v>
      </x:c>
      <x:c r="L7" s="15" t="n">
        <x:v>4</x:v>
      </x:c>
      <x:c r="M7" s="15" t="str">
        <x:v>anchors + ground-truth boxes/classes -&gt; encoded boxes/classes</x:v>
      </x:c>
      <x:c r="N7" s="15" t="str">
        <x:v>Python NumPy bbox encoder</x:v>
      </x:c>
      <x:c r="O7" s="15" t="str">
        <x:v>Apache-2.0</x:v>
      </x:c>
      <x:c r="P7" s="15" t="str">
        <x:v>https://github.com/NVIDIA/DALI/blob/main/LICENSE</x:v>
      </x:c>
      <x:c r="Q7" s="15" t="str"/>
      <x:c r="R7" s="15" t="str">
        <x:v>High</x:v>
      </x:c>
      <x:c r="S7" s="15" t="n">
        <x:f>ROUND(0.45*J7+0.25*K7+0.2*L7+0.1*IF(OR(O7="Apache-2.0",O7="BSD-3-Clause",LEFT(O7,3)="BSD"),5,3),2)</x:f>
        <x:v>4.1</x:v>
      </x:c>
    </x:row>
    <x:row r="8" ht="54" customHeight="1">
      <x:c r="A8" s="15" t="str">
        <x:v>K007</x:v>
      </x:c>
      <x:c r="B8" s="15" t="str">
        <x:v>NVIDIA/DALI</x:v>
      </x:c>
      <x:c r="C8" s="15" t="str">
        <x:v>https://github.com/NVIDIA/DALI</x:v>
      </x:c>
      <x:c r="D8" s="15" t="str">
        <x:v>https://github.com/NVIDIA/DALI/blob/main/dali/operators/displacement/jitter.cu</x:v>
      </x:c>
      <x:c r="E8" s="15" t="str">
        <x:v>dali/operators/displacement/jitter.cu</x:v>
      </x:c>
      <x:c r="F8" s="15" t="str">
        <x:v>Jitter</x:v>
      </x:c>
      <x:c r="G8" s="15" t="str">
        <x:v>image augmentation</x:v>
      </x:c>
      <x:c r="H8" s="15" t="str">
        <x:v>geometric transform</x:v>
      </x:c>
      <x:c r="I8" s="15" t="str">
        <x:v>Random displacement map with interpolation; boundary handling</x:v>
      </x:c>
      <x:c r="J8" s="15" t="n">
        <x:v>4</x:v>
      </x:c>
      <x:c r="K8" s="15" t="n">
        <x:v>4</x:v>
      </x:c>
      <x:c r="L8" s="15" t="n">
        <x:v>4</x:v>
      </x:c>
      <x:c r="M8" s="15" t="str">
        <x:v>image + displacement/random params -&gt; warped image</x:v>
      </x:c>
      <x:c r="N8" s="15" t="str">
        <x:v>CPU reference with scipy/OpenCV remap</x:v>
      </x:c>
      <x:c r="O8" s="15" t="str">
        <x:v>Apache-2.0</x:v>
      </x:c>
      <x:c r="P8" s="15" t="str">
        <x:v>https://github.com/NVIDIA/DALI/blob/main/LICENSE</x:v>
      </x:c>
      <x:c r="Q8" s="15" t="str"/>
      <x:c r="R8" s="15" t="str">
        <x:v>High</x:v>
      </x:c>
      <x:c r="S8" s="15" t="n">
        <x:f>ROUND(0.45*J8+0.25*K8+0.2*L8+0.1*IF(OR(O8="Apache-2.0",O8="BSD-3-Clause",LEFT(O8,3)="BSD"),5,3),2)</x:f>
        <x:v>4.1</x:v>
      </x:c>
    </x:row>
    <x:row r="9" ht="54" customHeight="1">
      <x:c r="A9" s="15" t="str">
        <x:v>K008</x:v>
      </x:c>
      <x:c r="B9" s="15" t="str">
        <x:v>NVIDIA/DALI</x:v>
      </x:c>
      <x:c r="C9" s="15" t="str">
        <x:v>https://github.com/NVIDIA/DALI</x:v>
      </x:c>
      <x:c r="D9" s="15" t="str">
        <x:v>https://github.com/NVIDIA/DALI/blob/main/dali/operators/displacement/rotate.cu</x:v>
      </x:c>
      <x:c r="E9" s="15" t="str">
        <x:v>dali/operators/displacement/rotate.cu</x:v>
      </x:c>
      <x:c r="F9" s="15" t="str">
        <x:v>Rotate</x:v>
      </x:c>
      <x:c r="G9" s="15" t="str">
        <x:v>image augmentation</x:v>
      </x:c>
      <x:c r="H9" s="15" t="str">
        <x:v>geometric transform</x:v>
      </x:c>
      <x:c r="I9" s="15" t="str">
        <x:v>Rotation interpolation, border modes, coordinate transforms</x:v>
      </x:c>
      <x:c r="J9" s="15" t="n">
        <x:v>4</x:v>
      </x:c>
      <x:c r="K9" s="15" t="n">
        <x:v>5</x:v>
      </x:c>
      <x:c r="L9" s="15" t="n">
        <x:v>5</x:v>
      </x:c>
      <x:c r="M9" s="15" t="str">
        <x:v>image batch + angle/center/scale -&gt; rotated images</x:v>
      </x:c>
      <x:c r="N9" s="15" t="str">
        <x:v>OpenCV warpAffine reference</x:v>
      </x:c>
      <x:c r="O9" s="15" t="str">
        <x:v>Apache-2.0</x:v>
      </x:c>
      <x:c r="P9" s="15" t="str">
        <x:v>https://github.com/NVIDIA/DALI/blob/main/LICENSE</x:v>
      </x:c>
      <x:c r="Q9" s="15" t="str"/>
      <x:c r="R9" s="15" t="str">
        <x:v>High</x:v>
      </x:c>
      <x:c r="S9" s="15" t="n">
        <x:f>ROUND(0.45*J9+0.25*K9+0.2*L9+0.1*IF(OR(O9="Apache-2.0",O9="BSD-3-Clause",LEFT(O9,3)="BSD"),5,3),2)</x:f>
        <x:v>4.55</x:v>
      </x:c>
    </x:row>
    <x:row r="10" ht="54" customHeight="1">
      <x:c r="A10" s="15" t="str">
        <x:v>K009</x:v>
      </x:c>
      <x:c r="B10" s="15" t="str">
        <x:v>NVIDIA/DALI</x:v>
      </x:c>
      <x:c r="C10" s="15" t="str">
        <x:v>https://github.com/NVIDIA/DALI</x:v>
      </x:c>
      <x:c r="D10" s="15" t="str">
        <x:v>https://github.com/NVIDIA/DALI/blob/main/dali/operators/displacement/sphere.cu</x:v>
      </x:c>
      <x:c r="E10" s="15" t="str">
        <x:v>dali/operators/displacement/sphere.cu</x:v>
      </x:c>
      <x:c r="F10" s="15" t="str">
        <x:v>Sphere</x:v>
      </x:c>
      <x:c r="G10" s="15" t="str">
        <x:v>image augmentation</x:v>
      </x:c>
      <x:c r="H10" s="15" t="str">
        <x:v>nonlinear warp</x:v>
      </x:c>
      <x:c r="I10" s="15" t="str">
        <x:v>Nonlinear coordinate transform with interpolation, useful for geometric agent reasoning</x:v>
      </x:c>
      <x:c r="J10" s="15" t="n">
        <x:v>4</x:v>
      </x:c>
      <x:c r="K10" s="15" t="n">
        <x:v>4</x:v>
      </x:c>
      <x:c r="L10" s="15" t="n">
        <x:v>4</x:v>
      </x:c>
      <x:c r="M10" s="15" t="str">
        <x:v>image + sphere distortion params -&gt; warped image</x:v>
      </x:c>
      <x:c r="N10" s="15" t="str">
        <x:v>CPU coordinate-map reference</x:v>
      </x:c>
      <x:c r="O10" s="15" t="str">
        <x:v>Apache-2.0</x:v>
      </x:c>
      <x:c r="P10" s="15" t="str">
        <x:v>https://github.com/NVIDIA/DALI/blob/main/LICENSE</x:v>
      </x:c>
      <x:c r="Q10" s="15" t="str"/>
      <x:c r="R10" s="15" t="str">
        <x:v>High</x:v>
      </x:c>
      <x:c r="S10" s="15" t="n">
        <x:f>ROUND(0.45*J10+0.25*K10+0.2*L10+0.1*IF(OR(O10="Apache-2.0",O10="BSD-3-Clause",LEFT(O10,3)="BSD"),5,3),2)</x:f>
        <x:v>4.1</x:v>
      </x:c>
    </x:row>
    <x:row r="11" ht="54" customHeight="1">
      <x:c r="A11" s="15" t="str">
        <x:v>K010</x:v>
      </x:c>
      <x:c r="B11" s="15" t="str">
        <x:v>NVIDIA/DALI</x:v>
      </x:c>
      <x:c r="C11" s="15" t="str">
        <x:v>https://github.com/NVIDIA/DALI</x:v>
      </x:c>
      <x:c r="D11" s="15" t="str">
        <x:v>https://github.com/NVIDIA/DALI/blob/main/dali/operators/displacement/warpaffine.cu</x:v>
      </x:c>
      <x:c r="E11" s="15" t="str">
        <x:v>dali/operators/displacement/warpaffine.cu</x:v>
      </x:c>
      <x:c r="F11" s="15" t="str">
        <x:v>WarpAffine</x:v>
      </x:c>
      <x:c r="G11" s="15" t="str">
        <x:v>image processing</x:v>
      </x:c>
      <x:c r="H11" s="15" t="str">
        <x:v>geometric transform</x:v>
      </x:c>
      <x:c r="I11" s="15" t="str">
        <x:v>Affine matrix, interpolation, border handling; classic CUDA-to-SYCL challenge</x:v>
      </x:c>
      <x:c r="J11" s="15" t="n">
        <x:v>4</x:v>
      </x:c>
      <x:c r="K11" s="15" t="n">
        <x:v>5</x:v>
      </x:c>
      <x:c r="L11" s="15" t="n">
        <x:v>5</x:v>
      </x:c>
      <x:c r="M11" s="15" t="str">
        <x:v>image batch + 2x3 matrices -&gt; warped images</x:v>
      </x:c>
      <x:c r="N11" s="15" t="str">
        <x:v>OpenCV warpAffine reference</x:v>
      </x:c>
      <x:c r="O11" s="15" t="str">
        <x:v>Apache-2.0</x:v>
      </x:c>
      <x:c r="P11" s="15" t="str">
        <x:v>https://github.com/NVIDIA/DALI/blob/main/LICENSE</x:v>
      </x:c>
      <x:c r="Q11" s="15" t="str"/>
      <x:c r="R11" s="15" t="str">
        <x:v>High</x:v>
      </x:c>
      <x:c r="S11" s="15" t="n">
        <x:f>ROUND(0.45*J11+0.25*K11+0.2*L11+0.1*IF(OR(O11="Apache-2.0",O11="BSD-3-Clause",LEFT(O11,3)="BSD"),5,3),2)</x:f>
        <x:v>4.55</x:v>
      </x:c>
    </x:row>
    <x:row r="12" ht="54" customHeight="1">
      <x:c r="A12" s="15" t="str">
        <x:v>K011</x:v>
      </x:c>
      <x:c r="B12" s="15" t="str">
        <x:v>NVIDIA/DALI</x:v>
      </x:c>
      <x:c r="C12" s="15" t="str">
        <x:v>https://github.com/NVIDIA/DALI</x:v>
      </x:c>
      <x:c r="D12" s="15" t="str">
        <x:v>https://github.com/NVIDIA/DALI/blob/main/dali/operators/displacement/water.cu</x:v>
      </x:c>
      <x:c r="E12" s="15" t="str">
        <x:v>dali/operators/displacement/water.cu</x:v>
      </x:c>
      <x:c r="F12" s="15" t="str">
        <x:v>Water</x:v>
      </x:c>
      <x:c r="G12" s="15" t="str">
        <x:v>image augmentation</x:v>
      </x:c>
      <x:c r="H12" s="15" t="str">
        <x:v>nonlinear warp</x:v>
      </x:c>
      <x:c r="I12" s="15" t="str">
        <x:v>Nonlinear sine/ripple-like displacement; texture sampling style</x:v>
      </x:c>
      <x:c r="J12" s="15" t="n">
        <x:v>4</x:v>
      </x:c>
      <x:c r="K12" s="15" t="n">
        <x:v>4</x:v>
      </x:c>
      <x:c r="L12" s="15" t="n">
        <x:v>4</x:v>
      </x:c>
      <x:c r="M12" s="15" t="str">
        <x:v>image + water transform params -&gt; warped image</x:v>
      </x:c>
      <x:c r="N12" s="15" t="str">
        <x:v>CPU coordinate-map reference</x:v>
      </x:c>
      <x:c r="O12" s="15" t="str">
        <x:v>Apache-2.0</x:v>
      </x:c>
      <x:c r="P12" s="15" t="str">
        <x:v>https://github.com/NVIDIA/DALI/blob/main/LICENSE</x:v>
      </x:c>
      <x:c r="Q12" s="15" t="str"/>
      <x:c r="R12" s="15" t="str">
        <x:v>High</x:v>
      </x:c>
      <x:c r="S12" s="15" t="n">
        <x:f>ROUND(0.45*J12+0.25*K12+0.2*L12+0.1*IF(OR(O12="Apache-2.0",O12="BSD-3-Clause",LEFT(O12,3)="BSD"),5,3),2)</x:f>
        <x:v>4.1</x:v>
      </x:c>
    </x:row>
    <x:row r="13" ht="54" customHeight="1">
      <x:c r="A13" s="15" t="str">
        <x:v>K012</x:v>
      </x:c>
      <x:c r="B13" s="15" t="str">
        <x:v>NVIDIA/DALI</x:v>
      </x:c>
      <x:c r="C13" s="15" t="str">
        <x:v>https://github.com/NVIDIA/DALI</x:v>
      </x:c>
      <x:c r="D13" s="15" t="str">
        <x:v>https://github.com/NVIDIA/DALI/blob/main/dali/operators/fused/crop_mirror_normalize.cu</x:v>
      </x:c>
      <x:c r="E13" s="15" t="str">
        <x:v>dali/operators/fused/crop_mirror_normalize.cu</x:v>
      </x:c>
      <x:c r="F13" s="15" t="str">
        <x:v>CropMirrorNormalize</x:v>
      </x:c>
      <x:c r="G13" s="15" t="str">
        <x:v>DL preprocessing</x:v>
      </x:c>
      <x:c r="H13" s="15" t="str">
        <x:v>fused preprocessing</x:v>
      </x:c>
      <x:c r="I13" s="15" t="str">
        <x:v>Fuses crop, flip, normalization, layout conversion; excellent real ML pipeline kernel</x:v>
      </x:c>
      <x:c r="J13" s="15" t="n">
        <x:v>5</x:v>
      </x:c>
      <x:c r="K13" s="15" t="n">
        <x:v>4</x:v>
      </x:c>
      <x:c r="L13" s="15" t="n">
        <x:v>5</x:v>
      </x:c>
      <x:c r="M13" s="15" t="str">
        <x:v>image batch + crop boxes + flip flags + mean/std -&gt; normalized tensor</x:v>
      </x:c>
      <x:c r="N13" s="15" t="str">
        <x:v>Compose NumPy/PyTorch crop+flip+normalize</x:v>
      </x:c>
      <x:c r="O13" s="15" t="str">
        <x:v>Apache-2.0</x:v>
      </x:c>
      <x:c r="P13" s="15" t="str">
        <x:v>https://github.com/NVIDIA/DALI/blob/main/LICENSE</x:v>
      </x:c>
      <x:c r="Q13" s="15" t="str"/>
      <x:c r="R13" s="15" t="str">
        <x:v>High</x:v>
      </x:c>
      <x:c r="S13" s="15" t="n">
        <x:f>ROUND(0.45*J13+0.25*K13+0.2*L13+0.1*IF(OR(O13="Apache-2.0",O13="BSD-3-Clause",LEFT(O13,3)="BSD"),5,3),2)</x:f>
        <x:v>4.75</x:v>
      </x:c>
    </x:row>
    <x:row r="14" ht="54" customHeight="1">
      <x:c r="A14" s="15" t="str">
        <x:v>K013</x:v>
      </x:c>
      <x:c r="B14" s="15" t="str">
        <x:v>NVIDIA/DALI</x:v>
      </x:c>
      <x:c r="C14" s="15" t="str">
        <x:v>https://github.com/NVIDIA/DALI</x:v>
      </x:c>
      <x:c r="D14" s="15" t="str">
        <x:v>https://github.com/NVIDIA/DALI/blob/main/dali/operators/fused/normalize_permute.cu</x:v>
      </x:c>
      <x:c r="E14" s="15" t="str">
        <x:v>dali/operators/fused/normalize_permute.cu</x:v>
      </x:c>
      <x:c r="F14" s="15" t="str">
        <x:v>NormalizePermute</x:v>
      </x:c>
      <x:c r="G14" s="15" t="str">
        <x:v>DL preprocessing</x:v>
      </x:c>
      <x:c r="H14" s="15" t="str">
        <x:v>fused preprocessing</x:v>
      </x:c>
      <x:c r="I14" s="15" t="str">
        <x:v>Layout conversion HWC/NHWC-&gt;CHW/NCHW plus normalize; memory coalescing challenge</x:v>
      </x:c>
      <x:c r="J14" s="15" t="n">
        <x:v>4</x:v>
      </x:c>
      <x:c r="K14" s="15" t="n">
        <x:v>5</x:v>
      </x:c>
      <x:c r="L14" s="15" t="n">
        <x:v>5</x:v>
      </x:c>
      <x:c r="M14" s="15" t="str">
        <x:v>image batch + mean/std + layout target -&gt; tensor</x:v>
      </x:c>
      <x:c r="N14" s="15" t="str">
        <x:v>PyTorch permute + normalize reference</x:v>
      </x:c>
      <x:c r="O14" s="15" t="str">
        <x:v>Apache-2.0</x:v>
      </x:c>
      <x:c r="P14" s="15" t="str">
        <x:v>https://github.com/NVIDIA/DALI/blob/main/LICENSE</x:v>
      </x:c>
      <x:c r="Q14" s="15" t="str"/>
      <x:c r="R14" s="15" t="str">
        <x:v>High</x:v>
      </x:c>
      <x:c r="S14" s="15" t="n">
        <x:f>ROUND(0.45*J14+0.25*K14+0.2*L14+0.1*IF(OR(O14="Apache-2.0",O14="BSD-3-Clause",LEFT(O14,3)="BSD"),5,3),2)</x:f>
        <x:v>4.55</x:v>
      </x:c>
    </x:row>
    <x:row r="15" ht="54" customHeight="1">
      <x:c r="A15" s="15" t="str">
        <x:v>K014</x:v>
      </x:c>
      <x:c r="B15" s="15" t="str">
        <x:v>NVIDIA/DALI</x:v>
      </x:c>
      <x:c r="C15" s="15" t="str">
        <x:v>https://github.com/NVIDIA/DALI</x:v>
      </x:c>
      <x:c r="D15" s="15" t="str">
        <x:v>https://github.com/NVIDIA/DALI/blob/main/dali/operators/fused/resize_crop_mirror.cu</x:v>
      </x:c>
      <x:c r="E15" s="15" t="str">
        <x:v>dali/operators/fused/resize_crop_mirror.cu</x:v>
      </x:c>
      <x:c r="F15" s="15" t="str">
        <x:v>ResizeCropMirror</x:v>
      </x:c>
      <x:c r="G15" s="15" t="str">
        <x:v>DL preprocessing</x:v>
      </x:c>
      <x:c r="H15" s="15" t="str">
        <x:v>fused preprocessing</x:v>
      </x:c>
      <x:c r="I15" s="15" t="str">
        <x:v>Fused resize/crop/flip; tests if agent preserves fusion and memory access</x:v>
      </x:c>
      <x:c r="J15" s="15" t="n">
        <x:v>5</x:v>
      </x:c>
      <x:c r="K15" s="15" t="n">
        <x:v>4</x:v>
      </x:c>
      <x:c r="L15" s="15" t="n">
        <x:v>5</x:v>
      </x:c>
      <x:c r="M15" s="15" t="str">
        <x:v>image batch + resize/crop/flip params -&gt; output batch</x:v>
      </x:c>
      <x:c r="N15" s="15" t="str">
        <x:v>DALI op or OpenCV+NumPy composed reference</x:v>
      </x:c>
      <x:c r="O15" s="15" t="str">
        <x:v>Apache-2.0</x:v>
      </x:c>
      <x:c r="P15" s="15" t="str">
        <x:v>https://github.com/NVIDIA/DALI/blob/main/LICENSE</x:v>
      </x:c>
      <x:c r="Q15" s="15" t="str"/>
      <x:c r="R15" s="15" t="str">
        <x:v>High</x:v>
      </x:c>
      <x:c r="S15" s="15" t="n">
        <x:f>ROUND(0.45*J15+0.25*K15+0.2*L15+0.1*IF(OR(O15="Apache-2.0",O15="BSD-3-Clause",LEFT(O15,3)="BSD"),5,3),2)</x:f>
        <x:v>4.75</x:v>
      </x:c>
    </x:row>
    <x:row r="16" ht="54" customHeight="1">
      <x:c r="A16" s="15" t="str">
        <x:v>K015</x:v>
      </x:c>
      <x:c r="B16" s="15" t="str">
        <x:v>NVIDIA/DALI</x:v>
      </x:c>
      <x:c r="C16" s="15" t="str">
        <x:v>https://github.com/NVIDIA/DALI</x:v>
      </x:c>
      <x:c r="D16" s="15" t="str">
        <x:v>https://github.com/NVIDIA/DALI/blob/main/dali/operators/geometric/bb_flip.cu</x:v>
      </x:c>
      <x:c r="E16" s="15" t="str">
        <x:v>dali/operators/geometric/bb_flip.cu</x:v>
      </x:c>
      <x:c r="F16" s="15" t="str">
        <x:v>BoundingBoxFlip</x:v>
      </x:c>
      <x:c r="G16" s="15" t="str">
        <x:v>object detection</x:v>
      </x:c>
      <x:c r="H16" s="15" t="str">
        <x:v>bbox transform</x:v>
      </x:c>
      <x:c r="I16" s="15" t="str">
        <x:v>Coordinate transform for boxes; simple enough to isolate, but many layout cases</x:v>
      </x:c>
      <x:c r="J16" s="15" t="n">
        <x:v>2</x:v>
      </x:c>
      <x:c r="K16" s="15" t="n">
        <x:v>5</x:v>
      </x:c>
      <x:c r="L16" s="15" t="n">
        <x:v>5</x:v>
      </x:c>
      <x:c r="M16" s="15" t="str">
        <x:v>boxes + flip params + image size -&gt; flipped boxes</x:v>
      </x:c>
      <x:c r="N16" s="15" t="str">
        <x:v>Python bbox transform reference</x:v>
      </x:c>
      <x:c r="O16" s="15" t="str">
        <x:v>Apache-2.0</x:v>
      </x:c>
      <x:c r="P16" s="15" t="str">
        <x:v>https://github.com/NVIDIA/DALI/blob/main/LICENSE</x:v>
      </x:c>
      <x:c r="Q16" s="15" t="str"/>
      <x:c r="R16" s="15" t="str">
        <x:v>High</x:v>
      </x:c>
      <x:c r="S16" s="15" t="n">
        <x:f>ROUND(0.45*J16+0.25*K16+0.2*L16+0.1*IF(OR(O16="Apache-2.0",O16="BSD-3-Clause",LEFT(O16,3)="BSD"),5,3),2)</x:f>
        <x:v>3.65</x:v>
      </x:c>
    </x:row>
    <x:row r="17" ht="54" customHeight="1">
      <x:c r="A17" s="15" t="str">
        <x:v>K016</x:v>
      </x:c>
      <x:c r="B17" s="15" t="str">
        <x:v>NVIDIA/DALI</x:v>
      </x:c>
      <x:c r="C17" s="15" t="str">
        <x:v>https://github.com/NVIDIA/DALI</x:v>
      </x:c>
      <x:c r="D17" s="15" t="str">
        <x:v>https://github.com/NVIDIA/DALI/blob/main/dali/operators/geometric/flip.cu</x:v>
      </x:c>
      <x:c r="E17" s="15" t="str">
        <x:v>dali/operators/geometric/flip.cu</x:v>
      </x:c>
      <x:c r="F17" s="15" t="str">
        <x:v>Flip</x:v>
      </x:c>
      <x:c r="G17" s="15" t="str">
        <x:v>image augmentation</x:v>
      </x:c>
      <x:c r="H17" s="15" t="str">
        <x:v>geometric transform</x:v>
      </x:c>
      <x:c r="I17" s="15" t="str">
        <x:v>Horizontal/vertical/depth flip with layout and strides</x:v>
      </x:c>
      <x:c r="J17" s="15" t="n">
        <x:v>2</x:v>
      </x:c>
      <x:c r="K17" s="15" t="n">
        <x:v>5</x:v>
      </x:c>
      <x:c r="L17" s="15" t="n">
        <x:v>5</x:v>
      </x:c>
      <x:c r="M17" s="15" t="str">
        <x:v>image/tensor batch + flip flags -&gt; flipped tensor</x:v>
      </x:c>
      <x:c r="N17" s="15" t="str">
        <x:v>NumPy flip reference</x:v>
      </x:c>
      <x:c r="O17" s="15" t="str">
        <x:v>Apache-2.0</x:v>
      </x:c>
      <x:c r="P17" s="15" t="str">
        <x:v>https://github.com/NVIDIA/DALI/blob/main/LICENSE</x:v>
      </x:c>
      <x:c r="Q17" s="15" t="str"/>
      <x:c r="R17" s="15" t="str">
        <x:v>High</x:v>
      </x:c>
      <x:c r="S17" s="15" t="n">
        <x:f>ROUND(0.45*J17+0.25*K17+0.2*L17+0.1*IF(OR(O17="Apache-2.0",O17="BSD-3-Clause",LEFT(O17,3)="BSD"),5,3),2)</x:f>
        <x:v>3.65</x:v>
      </x:c>
    </x:row>
    <x:row r="18" ht="54" customHeight="1">
      <x:c r="A18" s="15" t="str">
        <x:v>K017</x:v>
      </x:c>
      <x:c r="B18" s="15" t="str">
        <x:v>NVIDIA/DALI</x:v>
      </x:c>
      <x:c r="C18" s="15" t="str">
        <x:v>https://github.com/NVIDIA/DALI</x:v>
      </x:c>
      <x:c r="D18" s="15" t="str">
        <x:v>https://github.com/NVIDIA/DALI/blob/main/dali/operators/paste/paste.cu</x:v>
      </x:c>
      <x:c r="E18" s="15" t="str">
        <x:v>dali/operators/paste/paste.cu</x:v>
      </x:c>
      <x:c r="F18" s="15" t="str">
        <x:v>Paste</x:v>
      </x:c>
      <x:c r="G18" s="15" t="str">
        <x:v>image composition</x:v>
      </x:c>
      <x:c r="H18" s="15" t="str">
        <x:v>paste/composite</x:v>
      </x:c>
      <x:c r="I18" s="15" t="str">
        <x:v>ROI paste with offsets, fill values, boundary handling</x:v>
      </x:c>
      <x:c r="J18" s="15" t="n">
        <x:v>3</x:v>
      </x:c>
      <x:c r="K18" s="15" t="n">
        <x:v>5</x:v>
      </x:c>
      <x:c r="L18" s="15" t="n">
        <x:v>5</x:v>
      </x:c>
      <x:c r="M18" s="15" t="str">
        <x:v>input image/tensor + paste geometry/fill -&gt; larger canvas</x:v>
      </x:c>
      <x:c r="N18" s="15" t="str">
        <x:v>NumPy canvas reference</x:v>
      </x:c>
      <x:c r="O18" s="15" t="str">
        <x:v>Apache-2.0</x:v>
      </x:c>
      <x:c r="P18" s="15" t="str">
        <x:v>https://github.com/NVIDIA/DALI/blob/main/LICENSE</x:v>
      </x:c>
      <x:c r="Q18" s="15" t="str"/>
      <x:c r="R18" s="15" t="str">
        <x:v>High</x:v>
      </x:c>
      <x:c r="S18" s="15" t="n">
        <x:f>ROUND(0.45*J18+0.25*K18+0.2*L18+0.1*IF(OR(O18="Apache-2.0",O18="BSD-3-Clause",LEFT(O18,3)="BSD"),5,3),2)</x:f>
        <x:v>4.1</x:v>
      </x:c>
    </x:row>
    <x:row r="19" ht="54" customHeight="1">
      <x:c r="A19" s="15" t="str">
        <x:v>K018</x:v>
      </x:c>
      <x:c r="B19" s="15" t="str">
        <x:v>NVIDIA/DALI</x:v>
      </x:c>
      <x:c r="C19" s="15" t="str">
        <x:v>https://github.com/NVIDIA/DALI</x:v>
      </x:c>
      <x:c r="D19" s="15" t="str">
        <x:v>https://github.com/NVIDIA/DALI/blob/main/dali/operators/resize/random_resized_crop.cu</x:v>
      </x:c>
      <x:c r="E19" s="15" t="str">
        <x:v>dali/operators/resize/random_resized_crop.cu</x:v>
      </x:c>
      <x:c r="F19" s="15" t="str">
        <x:v>RandomResizedCrop</x:v>
      </x:c>
      <x:c r="G19" s="15" t="str">
        <x:v>DL augmentation</x:v>
      </x:c>
      <x:c r="H19" s="15" t="str">
        <x:v>resize/crop</x:v>
      </x:c>
      <x:c r="I19" s="15" t="str">
        <x:v>Stochastic crop plus resampling; good for verifying shape + interpolation</x:v>
      </x:c>
      <x:c r="J19" s="15" t="n">
        <x:v>5</x:v>
      </x:c>
      <x:c r="K19" s="15" t="n">
        <x:v>4</x:v>
      </x:c>
      <x:c r="L19" s="15" t="n">
        <x:v>5</x:v>
      </x:c>
      <x:c r="M19" s="15" t="str">
        <x:v>image batch + random crop params + output size -&gt; resized crop</x:v>
      </x:c>
      <x:c r="N19" s="15" t="str">
        <x:v>PIL/OpenCV deterministic-seed reference</x:v>
      </x:c>
      <x:c r="O19" s="15" t="str">
        <x:v>Apache-2.0</x:v>
      </x:c>
      <x:c r="P19" s="15" t="str">
        <x:v>https://github.com/NVIDIA/DALI/blob/main/LICENSE</x:v>
      </x:c>
      <x:c r="Q19" s="15" t="str"/>
      <x:c r="R19" s="15" t="str">
        <x:v>High</x:v>
      </x:c>
      <x:c r="S19" s="15" t="n">
        <x:f>ROUND(0.45*J19+0.25*K19+0.2*L19+0.1*IF(OR(O19="Apache-2.0",O19="BSD-3-Clause",LEFT(O19,3)="BSD"),5,3),2)</x:f>
        <x:v>4.75</x:v>
      </x:c>
    </x:row>
    <x:row r="20" ht="54" customHeight="1">
      <x:c r="A20" s="15" t="str">
        <x:v>K019</x:v>
      </x:c>
      <x:c r="B20" s="15" t="str">
        <x:v>NVIDIA/DALI</x:v>
      </x:c>
      <x:c r="C20" s="15" t="str">
        <x:v>https://github.com/NVIDIA/DALI</x:v>
      </x:c>
      <x:c r="D20" s="15" t="str">
        <x:v>https://github.com/NVIDIA/DALI/blob/main/dali/operators/resize/resize.cu</x:v>
      </x:c>
      <x:c r="E20" s="15" t="str">
        <x:v>dali/operators/resize/resize.cu</x:v>
      </x:c>
      <x:c r="F20" s="15" t="str">
        <x:v>Resize</x:v>
      </x:c>
      <x:c r="G20" s="15" t="str">
        <x:v>image preprocessing</x:v>
      </x:c>
      <x:c r="H20" s="15" t="str">
        <x:v>resize/interpolation</x:v>
      </x:c>
      <x:c r="I20" s="15" t="str">
        <x:v>Interpolation, vectorized writes, batching, layout/type variants</x:v>
      </x:c>
      <x:c r="J20" s="15" t="n">
        <x:v>4</x:v>
      </x:c>
      <x:c r="K20" s="15" t="n">
        <x:v>5</x:v>
      </x:c>
      <x:c r="L20" s="15" t="n">
        <x:v>5</x:v>
      </x:c>
      <x:c r="M20" s="15" t="str">
        <x:v>image batch + output size/interpolation -&gt; resized image batch</x:v>
      </x:c>
      <x:c r="N20" s="15" t="str">
        <x:v>OpenCV resize reference with tolerance</x:v>
      </x:c>
      <x:c r="O20" s="15" t="str">
        <x:v>Apache-2.0</x:v>
      </x:c>
      <x:c r="P20" s="15" t="str">
        <x:v>https://github.com/NVIDIA/DALI/blob/main/LICENSE</x:v>
      </x:c>
      <x:c r="Q20" s="15" t="str"/>
      <x:c r="R20" s="15" t="str">
        <x:v>High</x:v>
      </x:c>
      <x:c r="S20" s="15" t="n">
        <x:f>ROUND(0.45*J20+0.25*K20+0.2*L20+0.1*IF(OR(O20="Apache-2.0",O20="BSD-3-Clause",LEFT(O20,3)="BSD"),5,3),2)</x:f>
        <x:v>4.55</x:v>
      </x:c>
    </x:row>
    <x:row r="21" ht="54" customHeight="1">
      <x:c r="A21" s="15" t="str">
        <x:v>K020</x:v>
      </x:c>
      <x:c r="B21" s="15" t="str">
        <x:v>NVIDIA/DALI</x:v>
      </x:c>
      <x:c r="C21" s="15" t="str">
        <x:v>https://github.com/NVIDIA/DALI</x:v>
      </x:c>
      <x:c r="D21" s="15" t="str">
        <x:v>https://github.com/NVIDIA/DALI/blob/main/dali/operators/sequence/element_extract.cu</x:v>
      </x:c>
      <x:c r="E21" s="15" t="str">
        <x:v>dali/operators/sequence/element_extract.cu</x:v>
      </x:c>
      <x:c r="F21" s="15" t="str">
        <x:v>ElementExtract</x:v>
      </x:c>
      <x:c r="G21" s="15" t="str">
        <x:v>video/sequence preprocessing</x:v>
      </x:c>
      <x:c r="H21" s="15" t="str">
        <x:v>sequence indexing</x:v>
      </x:c>
      <x:c r="I21" s="15" t="str">
        <x:v>Batched sequence indexing and ragged metadata</x:v>
      </x:c>
      <x:c r="J21" s="15" t="n">
        <x:v>3</x:v>
      </x:c>
      <x:c r="K21" s="15" t="n">
        <x:v>4</x:v>
      </x:c>
      <x:c r="L21" s="15" t="n">
        <x:v>5</x:v>
      </x:c>
      <x:c r="M21" s="15" t="str">
        <x:v>sequence tensor batch + frame indices -&gt; selected frames</x:v>
      </x:c>
      <x:c r="N21" s="15" t="str">
        <x:v>NumPy indexing reference</x:v>
      </x:c>
      <x:c r="O21" s="15" t="str">
        <x:v>Apache-2.0</x:v>
      </x:c>
      <x:c r="P21" s="15" t="str">
        <x:v>https://github.com/NVIDIA/DALI/blob/main/LICENSE</x:v>
      </x:c>
      <x:c r="Q21" s="15" t="str"/>
      <x:c r="R21" s="15" t="str">
        <x:v>High</x:v>
      </x:c>
      <x:c r="S21" s="15" t="n">
        <x:f>ROUND(0.45*J21+0.25*K21+0.2*L21+0.1*IF(OR(O21="Apache-2.0",O21="BSD-3-Clause",LEFT(O21,3)="BSD"),5,3),2)</x:f>
        <x:v>3.85</x:v>
      </x:c>
    </x:row>
    <x:row r="22" ht="54" customHeight="1">
      <x:c r="A22" s="15" t="str">
        <x:v>K021</x:v>
      </x:c>
      <x:c r="B22" s="15" t="str">
        <x:v>NVIDIA/DALI</x:v>
      </x:c>
      <x:c r="C22" s="15" t="str">
        <x:v>https://github.com/NVIDIA/DALI</x:v>
      </x:c>
      <x:c r="D22" s="15" t="str">
        <x:v>https://github.com/NVIDIA/DALI/blob/main/dali/operators/transpose/transpose.cu</x:v>
      </x:c>
      <x:c r="E22" s="15" t="str">
        <x:v>dali/operators/transpose/transpose.cu</x:v>
      </x:c>
      <x:c r="F22" s="15" t="str">
        <x:v>Transpose</x:v>
      </x:c>
      <x:c r="G22" s="15" t="str">
        <x:v>tensor preprocessing</x:v>
      </x:c>
      <x:c r="H22" s="15" t="str">
        <x:v>layout transform</x:v>
      </x:c>
      <x:c r="I22" s="15" t="str">
        <x:v>Generic transpose stresses coalescing and index mapping</x:v>
      </x:c>
      <x:c r="J22" s="15" t="n">
        <x:v>4</x:v>
      </x:c>
      <x:c r="K22" s="15" t="n">
        <x:v>5</x:v>
      </x:c>
      <x:c r="L22" s="15" t="n">
        <x:v>5</x:v>
      </x:c>
      <x:c r="M22" s="15" t="str">
        <x:v>N-D tensor + permutation -&gt; transposed tensor</x:v>
      </x:c>
      <x:c r="N22" s="15" t="str">
        <x:v>NumPy transpose reference</x:v>
      </x:c>
      <x:c r="O22" s="15" t="str">
        <x:v>Apache-2.0</x:v>
      </x:c>
      <x:c r="P22" s="15" t="str">
        <x:v>https://github.com/NVIDIA/DALI/blob/main/LICENSE</x:v>
      </x:c>
      <x:c r="Q22" s="15" t="str"/>
      <x:c r="R22" s="15" t="str">
        <x:v>High</x:v>
      </x:c>
      <x:c r="S22" s="15" t="n">
        <x:f>ROUND(0.45*J22+0.25*K22+0.2*L22+0.1*IF(OR(O22="Apache-2.0",O22="BSD-3-Clause",LEFT(O22,3)="BSD"),5,3),2)</x:f>
        <x:v>4.55</x:v>
      </x:c>
    </x:row>
    <x:row r="23" ht="54" customHeight="1">
      <x:c r="A23" s="15" t="str">
        <x:v>K022</x:v>
      </x:c>
      <x:c r="B23" s="15" t="str">
        <x:v>NVIDIA/DALI</x:v>
      </x:c>
      <x:c r="C23" s="15" t="str">
        <x:v>https://github.com/NVIDIA/DALI</x:v>
      </x:c>
      <x:c r="D23" s="15" t="str">
        <x:v>https://github.com/NVIDIA/DALI/blob/main/dali/operators/util/cast.cu</x:v>
      </x:c>
      <x:c r="E23" s="15" t="str">
        <x:v>dali/operators/util/cast.cu</x:v>
      </x:c>
      <x:c r="F23" s="15" t="str">
        <x:v>Cast</x:v>
      </x:c>
      <x:c r="G23" s="15" t="str">
        <x:v>tensor preprocessing</x:v>
      </x:c>
      <x:c r="H23" s="15" t="str">
        <x:v>type conversion</x:v>
      </x:c>
      <x:c r="I23" s="15" t="str">
        <x:v>Type conversion kernels; good low/medium sanity kernel</x:v>
      </x:c>
      <x:c r="J23" s="15" t="n">
        <x:v>2</x:v>
      </x:c>
      <x:c r="K23" s="15" t="n">
        <x:v>5</x:v>
      </x:c>
      <x:c r="L23" s="15" t="n">
        <x:v>5</x:v>
      </x:c>
      <x:c r="M23" s="15" t="str">
        <x:v>input tensor dtype A -&gt; output tensor dtype B</x:v>
      </x:c>
      <x:c r="N23" s="15" t="str">
        <x:v>NumPy astype reference</x:v>
      </x:c>
      <x:c r="O23" s="15" t="str">
        <x:v>Apache-2.0</x:v>
      </x:c>
      <x:c r="P23" s="15" t="str">
        <x:v>https://github.com/NVIDIA/DALI/blob/main/LICENSE</x:v>
      </x:c>
      <x:c r="Q23" s="15" t="str"/>
      <x:c r="R23" s="15" t="str">
        <x:v>High</x:v>
      </x:c>
      <x:c r="S23" s="15" t="n">
        <x:f>ROUND(0.45*J23+0.25*K23+0.2*L23+0.1*IF(OR(O23="Apache-2.0",O23="BSD-3-Clause",LEFT(O23,3)="BSD"),5,3),2)</x:f>
        <x:v>3.65</x:v>
      </x:c>
    </x:row>
    <x:row r="24" ht="54" customHeight="1">
      <x:c r="A24" s="15" t="str">
        <x:v>K023</x:v>
      </x:c>
      <x:c r="B24" s="15" t="str">
        <x:v>NVIDIA/DALI</x:v>
      </x:c>
      <x:c r="C24" s="15" t="str">
        <x:v>https://github.com/NVIDIA/DALI</x:v>
      </x:c>
      <x:c r="D24" s="15" t="str">
        <x:v>https://github.com/NVIDIA/DALI/blob/main/dali/operators/util/make_contiguous.cu</x:v>
      </x:c>
      <x:c r="E24" s="15" t="str">
        <x:v>dali/operators/util/make_contiguous.cu</x:v>
      </x:c>
      <x:c r="F24" s="15" t="str">
        <x:v>MakeContiguous</x:v>
      </x:c>
      <x:c r="G24" s="15" t="str">
        <x:v>tensor preprocessing</x:v>
      </x:c>
      <x:c r="H24" s="15" t="str">
        <x:v>layout transform</x:v>
      </x:c>
      <x:c r="I24" s="15" t="str">
        <x:v>Strided-to-contiguous transform; common in ML pipelines</x:v>
      </x:c>
      <x:c r="J24" s="15" t="n">
        <x:v>3</x:v>
      </x:c>
      <x:c r="K24" s="15" t="n">
        <x:v>5</x:v>
      </x:c>
      <x:c r="L24" s="15" t="n">
        <x:v>5</x:v>
      </x:c>
      <x:c r="M24" s="15" t="str">
        <x:v>strided/ragged tensor -&gt; contiguous output</x:v>
      </x:c>
      <x:c r="N24" s="15" t="str">
        <x:v>NumPy ascontiguousarray reference</x:v>
      </x:c>
      <x:c r="O24" s="15" t="str">
        <x:v>Apache-2.0</x:v>
      </x:c>
      <x:c r="P24" s="15" t="str">
        <x:v>https://github.com/NVIDIA/DALI/blob/main/LICENSE</x:v>
      </x:c>
      <x:c r="Q24" s="15" t="str"/>
      <x:c r="R24" s="15" t="str">
        <x:v>High</x:v>
      </x:c>
      <x:c r="S24" s="15" t="n">
        <x:f>ROUND(0.45*J24+0.25*K24+0.2*L24+0.1*IF(OR(O24="Apache-2.0",O24="BSD-3-Clause",LEFT(O24,3)="BSD"),5,3),2)</x:f>
        <x:v>4.1</x:v>
      </x:c>
    </x:row>
    <x:row r="25" ht="54" customHeight="1">
      <x:c r="A25" s="15" t="str">
        <x:v>K024</x:v>
      </x:c>
      <x:c r="B25" s="15" t="str">
        <x:v>NVIDIA/DALI</x:v>
      </x:c>
      <x:c r="C25" s="15" t="str">
        <x:v>https://github.com/NVIDIA/DALI</x:v>
      </x:c>
      <x:c r="D25" s="15" t="str">
        <x:v>https://github.com/NVIDIA/DALI/blob/main/dali/kernels/imgproc/resample/resampling_batch.cu</x:v>
      </x:c>
      <x:c r="E25" s="15" t="str">
        <x:v>dali/kernels/imgproc/resample/resampling_batch.cu</x:v>
      </x:c>
      <x:c r="F25" s="15" t="str">
        <x:v>ResamplingBatch</x:v>
      </x:c>
      <x:c r="G25" s="15" t="str">
        <x:v>image preprocessing</x:v>
      </x:c>
      <x:c r="H25" s="15" t="str">
        <x:v>resize/interpolation backend</x:v>
      </x:c>
      <x:c r="I25" s="15" t="str">
        <x:v>Lower-level batched resampling kernel with filter setup; harder than operator wrapper</x:v>
      </x:c>
      <x:c r="J25" s="15" t="n">
        <x:v>5</x:v>
      </x:c>
      <x:c r="K25" s="15" t="n">
        <x:v>3</x:v>
      </x:c>
      <x:c r="L25" s="15" t="n">
        <x:v>4</x:v>
      </x:c>
      <x:c r="M25" s="15" t="str">
        <x:v>batch of images + resampling descriptors -&gt; resized outputs</x:v>
      </x:c>
      <x:c r="N25" s="15" t="str">
        <x:v>Compare with DALI Resize/OpenCV resize</x:v>
      </x:c>
      <x:c r="O25" s="15" t="str">
        <x:v>Apache-2.0</x:v>
      </x:c>
      <x:c r="P25" s="15" t="str">
        <x:v>https://github.com/NVIDIA/DALI/blob/main/LICENSE</x:v>
      </x:c>
      <x:c r="Q25" s="15" t="str"/>
      <x:c r="R25" s="15" t="str">
        <x:v>High</x:v>
      </x:c>
      <x:c r="S25" s="15" t="n">
        <x:f>ROUND(0.45*J25+0.25*K25+0.2*L25+0.1*IF(OR(O25="Apache-2.0",O25="BSD-3-Clause",LEFT(O25,3)="BSD"),5,3),2)</x:f>
        <x:v>4.3</x:v>
      </x:c>
    </x:row>
    <x:row r="26" ht="54" customHeight="1">
      <x:c r="A26" s="15" t="str">
        <x:v>K025</x:v>
      </x:c>
      <x:c r="B26" s="15" t="str">
        <x:v>opencv/opencv_contrib</x:v>
      </x:c>
      <x:c r="C26" s="15" t="str">
        <x:v>https://github.com/opencv/opencv_contrib</x:v>
      </x:c>
      <x:c r="D26" s="15" t="str">
        <x:v>https://github.com/opencv/opencv_contrib/blob/4.x/modules/cudaarithm/src/cuda/arithm.cu</x:v>
      </x:c>
      <x:c r="E26" s="15" t="str">
        <x:v>modules/cudaarithm/src/cuda/arithm.cu</x:v>
      </x:c>
      <x:c r="F26" s="15" t="str">
        <x:v>arithm kernels</x:v>
      </x:c>
      <x:c r="G26" s="15" t="str">
        <x:v>image/tensor primitive</x:v>
      </x:c>
      <x:c r="H26" s="15" t="str">
        <x:v>pixel arithmetic</x:v>
      </x:c>
      <x:c r="I26" s="15" t="str">
        <x:v>Broadcast/scalar/vector arithmetic; many dtype branches</x:v>
      </x:c>
      <x:c r="J26" s="15" t="n">
        <x:v>3</x:v>
      </x:c>
      <x:c r="K26" s="15" t="n">
        <x:v>5</x:v>
      </x:c>
      <x:c r="L26" s="15" t="n">
        <x:v>5</x:v>
      </x:c>
      <x:c r="M26" s="15" t="str">
        <x:v>GpuMat/tensor A,B or scalar -&gt; arithmetic output</x:v>
      </x:c>
      <x:c r="N26" s="15" t="str">
        <x:v>OpenCV CPU cv::add/subtract/multiply reference</x:v>
      </x:c>
      <x:c r="O26" s="15" t="str">
        <x:v>Apache-2.0</x:v>
      </x:c>
      <x:c r="P26" s="15" t="str">
        <x:v>https://github.com/opencv/opencv_contrib/blob/4.x/LICENSE</x:v>
      </x:c>
      <x:c r="Q26" s="15" t="str">
        <x:v>Contrib repository: keep file notices; check module-level third-party notices before redistribution.</x:v>
      </x:c>
      <x:c r="R26" s="15" t="str">
        <x:v>Medium-High</x:v>
      </x:c>
      <x:c r="S26" s="15" t="n">
        <x:f>ROUND(0.45*J26+0.25*K26+0.2*L26+0.1*IF(OR(O26="Apache-2.0",O26="BSD-3-Clause",LEFT(O26,3)="BSD"),5,3),2)</x:f>
        <x:v>4.1</x:v>
      </x:c>
    </x:row>
    <x:row r="27" ht="54" customHeight="1">
      <x:c r="A27" s="15" t="str">
        <x:v>K026</x:v>
      </x:c>
      <x:c r="B27" s="15" t="str">
        <x:v>opencv/opencv_contrib</x:v>
      </x:c>
      <x:c r="C27" s="15" t="str">
        <x:v>https://github.com/opencv/opencv_contrib</x:v>
      </x:c>
      <x:c r="D27" s="15" t="str">
        <x:v>https://github.com/opencv/opencv_contrib/blob/4.x/modules/cudaarithm/src/cuda/bitwise.cu</x:v>
      </x:c>
      <x:c r="E27" s="15" t="str">
        <x:v>modules/cudaarithm/src/cuda/bitwise.cu</x:v>
      </x:c>
      <x:c r="F27" s="15" t="str">
        <x:v>bitwise kernels</x:v>
      </x:c>
      <x:c r="G27" s="15" t="str">
        <x:v>image/tensor primitive</x:v>
      </x:c>
      <x:c r="H27" s="15" t="str">
        <x:v>bitwise ops</x:v>
      </x:c>
      <x:c r="I27" s="15" t="str">
        <x:v>Bitwise per-pixel operations with masks and channels</x:v>
      </x:c>
      <x:c r="J27" s="15" t="n">
        <x:v>2</x:v>
      </x:c>
      <x:c r="K27" s="15" t="n">
        <x:v>5</x:v>
      </x:c>
      <x:c r="L27" s="15" t="n">
        <x:v>5</x:v>
      </x:c>
      <x:c r="M27" s="15" t="str">
        <x:v>GpuMat A,B + optional mask -&gt; bitwise output</x:v>
      </x:c>
      <x:c r="N27" s="15" t="str">
        <x:v>OpenCV CPU bitwise reference</x:v>
      </x:c>
      <x:c r="O27" s="15" t="str">
        <x:v>Apache-2.0</x:v>
      </x:c>
      <x:c r="P27" s="15" t="str">
        <x:v>https://github.com/opencv/opencv_contrib/blob/4.x/LICENSE</x:v>
      </x:c>
      <x:c r="Q27" s="15" t="str">
        <x:v>Contrib repository: keep file notices; check module-level third-party notices before redistribution.</x:v>
      </x:c>
      <x:c r="R27" s="15" t="str">
        <x:v>Medium-High</x:v>
      </x:c>
      <x:c r="S27" s="15" t="n">
        <x:f>ROUND(0.45*J27+0.25*K27+0.2*L27+0.1*IF(OR(O27="Apache-2.0",O27="BSD-3-Clause",LEFT(O27,3)="BSD"),5,3),2)</x:f>
        <x:v>3.65</x:v>
      </x:c>
    </x:row>
    <x:row r="28" ht="54" customHeight="1">
      <x:c r="A28" s="15" t="str">
        <x:v>K027</x:v>
      </x:c>
      <x:c r="B28" s="15" t="str">
        <x:v>opencv/opencv_contrib</x:v>
      </x:c>
      <x:c r="C28" s="15" t="str">
        <x:v>https://github.com/opencv/opencv_contrib</x:v>
      </x:c>
      <x:c r="D28" s="15" t="str">
        <x:v>https://github.com/opencv/opencv_contrib/blob/4.x/modules/cudaarithm/src/cuda/compare.cu</x:v>
      </x:c>
      <x:c r="E28" s="15" t="str">
        <x:v>modules/cudaarithm/src/cuda/compare.cu</x:v>
      </x:c>
      <x:c r="F28" s="15" t="str">
        <x:v>compare kernels</x:v>
      </x:c>
      <x:c r="G28" s="15" t="str">
        <x:v>image/tensor primitive</x:v>
      </x:c>
      <x:c r="H28" s="15" t="str">
        <x:v>compare/mask</x:v>
      </x:c>
      <x:c r="I28" s="15" t="str">
        <x:v>Comparison predicates, masks, dtype conversion</x:v>
      </x:c>
      <x:c r="J28" s="15" t="n">
        <x:v>2</x:v>
      </x:c>
      <x:c r="K28" s="15" t="n">
        <x:v>5</x:v>
      </x:c>
      <x:c r="L28" s="15" t="n">
        <x:v>5</x:v>
      </x:c>
      <x:c r="M28" s="15" t="str">
        <x:v>GpuMat A,B/scalar -&gt; mask/output</x:v>
      </x:c>
      <x:c r="N28" s="15" t="str">
        <x:v>OpenCV CPU compare reference</x:v>
      </x:c>
      <x:c r="O28" s="15" t="str">
        <x:v>Apache-2.0</x:v>
      </x:c>
      <x:c r="P28" s="15" t="str">
        <x:v>https://github.com/opencv/opencv_contrib/blob/4.x/LICENSE</x:v>
      </x:c>
      <x:c r="Q28" s="15" t="str">
        <x:v>Contrib repository: keep file notices; check module-level third-party notices before redistribution.</x:v>
      </x:c>
      <x:c r="R28" s="15" t="str">
        <x:v>Medium-High</x:v>
      </x:c>
      <x:c r="S28" s="15" t="n">
        <x:f>ROUND(0.45*J28+0.25*K28+0.2*L28+0.1*IF(OR(O28="Apache-2.0",O28="BSD-3-Clause",LEFT(O28,3)="BSD"),5,3),2)</x:f>
        <x:v>3.65</x:v>
      </x:c>
    </x:row>
    <x:row r="29" ht="54" customHeight="1">
      <x:c r="A29" s="15" t="str">
        <x:v>K028</x:v>
      </x:c>
      <x:c r="B29" s="15" t="str">
        <x:v>opencv/opencv_contrib</x:v>
      </x:c>
      <x:c r="C29" s="15" t="str">
        <x:v>https://github.com/opencv/opencv_contrib</x:v>
      </x:c>
      <x:c r="D29" s="15" t="str">
        <x:v>https://github.com/opencv/opencv_contrib/blob/4.x/modules/cudaarithm/src/cuda/reductions.cu</x:v>
      </x:c>
      <x:c r="E29" s="15" t="str">
        <x:v>modules/cudaarithm/src/cuda/reductions.cu</x:v>
      </x:c>
      <x:c r="F29" s="15" t="str">
        <x:v>reduction kernels</x:v>
      </x:c>
      <x:c r="G29" s="15" t="str">
        <x:v>image/tensor primitive</x:v>
      </x:c>
      <x:c r="H29" s="15" t="str">
        <x:v>reduction</x:v>
      </x:c>
      <x:c r="I29" s="15" t="str">
        <x:v>Parallel reductions over rows/cols; shared memory and warp reduction issues</x:v>
      </x:c>
      <x:c r="J29" s="15" t="n">
        <x:v>4</x:v>
      </x:c>
      <x:c r="K29" s="15" t="n">
        <x:v>4</x:v>
      </x:c>
      <x:c r="L29" s="15" t="n">
        <x:v>5</x:v>
      </x:c>
      <x:c r="M29" s="15" t="str">
        <x:v>GpuMat -&gt; sum/min/max/norm style reduced outputs</x:v>
      </x:c>
      <x:c r="N29" s="15" t="str">
        <x:v>OpenCV CPU reduce/norm reference</x:v>
      </x:c>
      <x:c r="O29" s="15" t="str">
        <x:v>Apache-2.0</x:v>
      </x:c>
      <x:c r="P29" s="15" t="str">
        <x:v>https://github.com/opencv/opencv_contrib/blob/4.x/LICENSE</x:v>
      </x:c>
      <x:c r="Q29" s="15" t="str">
        <x:v>Contrib repository: keep file notices; check module-level third-party notices before redistribution.</x:v>
      </x:c>
      <x:c r="R29" s="15" t="str">
        <x:v>Medium-High</x:v>
      </x:c>
      <x:c r="S29" s="15" t="n">
        <x:f>ROUND(0.45*J29+0.25*K29+0.2*L29+0.1*IF(OR(O29="Apache-2.0",O29="BSD-3-Clause",LEFT(O29,3)="BSD"),5,3),2)</x:f>
        <x:v>4.3</x:v>
      </x:c>
    </x:row>
    <x:row r="30" ht="54" customHeight="1">
      <x:c r="A30" s="15" t="str">
        <x:v>K029</x:v>
      </x:c>
      <x:c r="B30" s="15" t="str">
        <x:v>opencv/opencv_contrib</x:v>
      </x:c>
      <x:c r="C30" s="15" t="str">
        <x:v>https://github.com/opencv/opencv_contrib</x:v>
      </x:c>
      <x:c r="D30" s="15" t="str">
        <x:v>https://github.com/opencv/opencv_contrib/blob/4.x/modules/cudaarithm/src/cuda/normalize.cu</x:v>
      </x:c>
      <x:c r="E30" s="15" t="str">
        <x:v>modules/cudaarithm/src/cuda/normalize.cu</x:v>
      </x:c>
      <x:c r="F30" s="15" t="str">
        <x:v>normalize kernels</x:v>
      </x:c>
      <x:c r="G30" s="15" t="str">
        <x:v>image preprocessing</x:v>
      </x:c>
      <x:c r="H30" s="15" t="str">
        <x:v>normalize</x:v>
      </x:c>
      <x:c r="I30" s="15" t="str">
        <x:v>Reduction + scaling fused pattern; very common preprocessing</x:v>
      </x:c>
      <x:c r="J30" s="15" t="n">
        <x:v>4</x:v>
      </x:c>
      <x:c r="K30" s="15" t="n">
        <x:v>4</x:v>
      </x:c>
      <x:c r="L30" s="15" t="n">
        <x:v>5</x:v>
      </x:c>
      <x:c r="M30" s="15" t="str">
        <x:v>image/tensor + norm/range params -&gt; normalized tensor</x:v>
      </x:c>
      <x:c r="N30" s="15" t="str">
        <x:v>OpenCV CPU normalize reference</x:v>
      </x:c>
      <x:c r="O30" s="15" t="str">
        <x:v>Apache-2.0</x:v>
      </x:c>
      <x:c r="P30" s="15" t="str">
        <x:v>https://github.com/opencv/opencv_contrib/blob/4.x/LICENSE</x:v>
      </x:c>
      <x:c r="Q30" s="15" t="str">
        <x:v>Contrib repository: keep file notices; check module-level third-party notices before redistribution.</x:v>
      </x:c>
      <x:c r="R30" s="15" t="str">
        <x:v>Medium-High</x:v>
      </x:c>
      <x:c r="S30" s="15" t="n">
        <x:f>ROUND(0.45*J30+0.25*K30+0.2*L30+0.1*IF(OR(O30="Apache-2.0",O30="BSD-3-Clause",LEFT(O30,3)="BSD"),5,3),2)</x:f>
        <x:v>4.3</x:v>
      </x:c>
    </x:row>
    <x:row r="31" ht="54" customHeight="1">
      <x:c r="A31" s="15" t="str">
        <x:v>K030</x:v>
      </x:c>
      <x:c r="B31" s="15" t="str">
        <x:v>opencv/opencv_contrib</x:v>
      </x:c>
      <x:c r="C31" s="15" t="str">
        <x:v>https://github.com/opencv/opencv_contrib</x:v>
      </x:c>
      <x:c r="D31" s="15" t="str">
        <x:v>https://github.com/opencv/opencv_contrib/blob/4.x/modules/cudaarithm/src/cuda/transform.cu</x:v>
      </x:c>
      <x:c r="E31" s="15" t="str">
        <x:v>modules/cudaarithm/src/cuda/transform.cu</x:v>
      </x:c>
      <x:c r="F31" s="15" t="str">
        <x:v>transform kernels</x:v>
      </x:c>
      <x:c r="G31" s="15" t="str">
        <x:v>image/tensor primitive</x:v>
      </x:c>
      <x:c r="H31" s="15" t="str">
        <x:v>linear transform</x:v>
      </x:c>
      <x:c r="I31" s="15" t="str">
        <x:v>Per-pixel matrix transform and channel mixing</x:v>
      </x:c>
      <x:c r="J31" s="15" t="n">
        <x:v>3</x:v>
      </x:c>
      <x:c r="K31" s="15" t="n">
        <x:v>5</x:v>
      </x:c>
      <x:c r="L31" s="15" t="n">
        <x:v>5</x:v>
      </x:c>
      <x:c r="M31" s="15" t="str">
        <x:v>multi-channel image + transform matrix -&gt; output image</x:v>
      </x:c>
      <x:c r="N31" s="15" t="str">
        <x:v>OpenCV CPU transform reference</x:v>
      </x:c>
      <x:c r="O31" s="15" t="str">
        <x:v>Apache-2.0</x:v>
      </x:c>
      <x:c r="P31" s="15" t="str">
        <x:v>https://github.com/opencv/opencv_contrib/blob/4.x/LICENSE</x:v>
      </x:c>
      <x:c r="Q31" s="15" t="str">
        <x:v>Contrib repository: keep file notices; check module-level third-party notices before redistribution.</x:v>
      </x:c>
      <x:c r="R31" s="15" t="str">
        <x:v>Medium-High</x:v>
      </x:c>
      <x:c r="S31" s="15" t="n">
        <x:f>ROUND(0.45*J31+0.25*K31+0.2*L31+0.1*IF(OR(O31="Apache-2.0",O31="BSD-3-Clause",LEFT(O31,3)="BSD"),5,3),2)</x:f>
        <x:v>4.1</x:v>
      </x:c>
    </x:row>
    <x:row r="32" ht="54" customHeight="1">
      <x:c r="A32" s="15" t="str">
        <x:v>K031</x:v>
      </x:c>
      <x:c r="B32" s="15" t="str">
        <x:v>opencv/opencv_contrib</x:v>
      </x:c>
      <x:c r="C32" s="15" t="str">
        <x:v>https://github.com/opencv/opencv_contrib</x:v>
      </x:c>
      <x:c r="D32" s="15" t="str">
        <x:v>https://github.com/opencv/opencv_contrib/blob/4.x/modules/cudaimgproc/src/cuda/color.cu</x:v>
      </x:c>
      <x:c r="E32" s="15" t="str">
        <x:v>modules/cudaimgproc/src/cuda/color.cu</x:v>
      </x:c>
      <x:c r="F32" s="15" t="str">
        <x:v>color conversion kernels</x:v>
      </x:c>
      <x:c r="G32" s="15" t="str">
        <x:v>image preprocessing</x:v>
      </x:c>
      <x:c r="H32" s="15" t="str">
        <x:v>color conversion</x:v>
      </x:c>
      <x:c r="I32" s="15" t="str">
        <x:v>Color-space conversion; many formats and channel packing cases</x:v>
      </x:c>
      <x:c r="J32" s="15" t="n">
        <x:v>4</x:v>
      </x:c>
      <x:c r="K32" s="15" t="n">
        <x:v>5</x:v>
      </x:c>
      <x:c r="L32" s="15" t="n">
        <x:v>5</x:v>
      </x:c>
      <x:c r="M32" s="15" t="str">
        <x:v>image in source format -&gt; target color format</x:v>
      </x:c>
      <x:c r="N32" s="15" t="str">
        <x:v>OpenCV CPU cvtColor reference</x:v>
      </x:c>
      <x:c r="O32" s="15" t="str">
        <x:v>Apache-2.0</x:v>
      </x:c>
      <x:c r="P32" s="15" t="str">
        <x:v>https://github.com/opencv/opencv_contrib/blob/4.x/LICENSE</x:v>
      </x:c>
      <x:c r="Q32" s="15" t="str">
        <x:v>Contrib repository: keep file notices; check module-level third-party notices before redistribution.</x:v>
      </x:c>
      <x:c r="R32" s="15" t="str">
        <x:v>Medium-High</x:v>
      </x:c>
      <x:c r="S32" s="15" t="n">
        <x:f>ROUND(0.45*J32+0.25*K32+0.2*L32+0.1*IF(OR(O32="Apache-2.0",O32="BSD-3-Clause",LEFT(O32,3)="BSD"),5,3),2)</x:f>
        <x:v>4.55</x:v>
      </x:c>
    </x:row>
    <x:row r="33" ht="54" customHeight="1">
      <x:c r="A33" s="15" t="str">
        <x:v>K032</x:v>
      </x:c>
      <x:c r="B33" s="15" t="str">
        <x:v>opencv/opencv_contrib</x:v>
      </x:c>
      <x:c r="C33" s="15" t="str">
        <x:v>https://github.com/opencv/opencv_contrib</x:v>
      </x:c>
      <x:c r="D33" s="15" t="str">
        <x:v>https://github.com/opencv/opencv_contrib/blob/4.x/modules/cudaimgproc/src/cuda/hist.cu</x:v>
      </x:c>
      <x:c r="E33" s="15" t="str">
        <x:v>modules/cudaimgproc/src/cuda/hist.cu</x:v>
      </x:c>
      <x:c r="F33" s="15" t="str">
        <x:v>histogram kernels</x:v>
      </x:c>
      <x:c r="G33" s="15" t="str">
        <x:v>image analysis</x:v>
      </x:c>
      <x:c r="H33" s="15" t="str">
        <x:v>histogram</x:v>
      </x:c>
      <x:c r="I33" s="15" t="str">
        <x:v>Atomic/shared-memory histogram; reveals memory contention handling</x:v>
      </x:c>
      <x:c r="J33" s="15" t="n">
        <x:v>5</x:v>
      </x:c>
      <x:c r="K33" s="15" t="n">
        <x:v>4</x:v>
      </x:c>
      <x:c r="L33" s="15" t="n">
        <x:v>5</x:v>
      </x:c>
      <x:c r="M33" s="15" t="str">
        <x:v>image + bins/ranges -&gt; histogram</x:v>
      </x:c>
      <x:c r="N33" s="15" t="str">
        <x:v>OpenCV CPU calcHist / NumPy histogram</x:v>
      </x:c>
      <x:c r="O33" s="15" t="str">
        <x:v>Apache-2.0</x:v>
      </x:c>
      <x:c r="P33" s="15" t="str">
        <x:v>https://github.com/opencv/opencv_contrib/blob/4.x/LICENSE</x:v>
      </x:c>
      <x:c r="Q33" s="15" t="str">
        <x:v>Contrib repository: keep file notices; check module-level third-party notices before redistribution.</x:v>
      </x:c>
      <x:c r="R33" s="15" t="str">
        <x:v>Medium-High</x:v>
      </x:c>
      <x:c r="S33" s="15" t="n">
        <x:f>ROUND(0.45*J33+0.25*K33+0.2*L33+0.1*IF(OR(O33="Apache-2.0",O33="BSD-3-Clause",LEFT(O33,3)="BSD"),5,3),2)</x:f>
        <x:v>4.75</x:v>
      </x:c>
    </x:row>
    <x:row r="34" ht="54" customHeight="1">
      <x:c r="A34" s="15" t="str">
        <x:v>K033</x:v>
      </x:c>
      <x:c r="B34" s="15" t="str">
        <x:v>opencv/opencv_contrib</x:v>
      </x:c>
      <x:c r="C34" s="15" t="str">
        <x:v>https://github.com/opencv/opencv_contrib</x:v>
      </x:c>
      <x:c r="D34" s="15" t="str">
        <x:v>https://github.com/opencv/opencv_contrib/blob/4.x/modules/cudaimgproc/src/cuda/hough_circles.cu</x:v>
      </x:c>
      <x:c r="E34" s="15" t="str">
        <x:v>modules/cudaimgproc/src/cuda/hough_circles.cu</x:v>
      </x:c>
      <x:c r="F34" s="15" t="str">
        <x:v>HoughCircles kernels</x:v>
      </x:c>
      <x:c r="G34" s="15" t="str">
        <x:v>image analysis</x:v>
      </x:c>
      <x:c r="H34" s="15" t="str">
        <x:v>feature detection</x:v>
      </x:c>
      <x:c r="I34" s="15" t="str">
        <x:v>Voting/accumulator pattern; harder control flow and atomics</x:v>
      </x:c>
      <x:c r="J34" s="15" t="n">
        <x:v>5</x:v>
      </x:c>
      <x:c r="K34" s="15" t="n">
        <x:v>3</x:v>
      </x:c>
      <x:c r="L34" s="15" t="n">
        <x:v>4</x:v>
      </x:c>
      <x:c r="M34" s="15" t="str">
        <x:v>edge/gradient image + params -&gt; circle candidates</x:v>
      </x:c>
      <x:c r="N34" s="15" t="str">
        <x:v>OpenCV CPU HoughCircles reference</x:v>
      </x:c>
      <x:c r="O34" s="15" t="str">
        <x:v>Apache-2.0</x:v>
      </x:c>
      <x:c r="P34" s="15" t="str">
        <x:v>https://github.com/opencv/opencv_contrib/blob/4.x/LICENSE</x:v>
      </x:c>
      <x:c r="Q34" s="15" t="str">
        <x:v>Contrib repository: keep file notices; check module-level third-party notices before redistribution.</x:v>
      </x:c>
      <x:c r="R34" s="15" t="str">
        <x:v>Medium-High</x:v>
      </x:c>
      <x:c r="S34" s="15" t="n">
        <x:f>ROUND(0.45*J34+0.25*K34+0.2*L34+0.1*IF(OR(O34="Apache-2.0",O34="BSD-3-Clause",LEFT(O34,3)="BSD"),5,3),2)</x:f>
        <x:v>4.3</x:v>
      </x:c>
    </x:row>
    <x:row r="35" ht="54" customHeight="1">
      <x:c r="A35" s="15" t="str">
        <x:v>K034</x:v>
      </x:c>
      <x:c r="B35" s="15" t="str">
        <x:v>opencv/opencv_contrib</x:v>
      </x:c>
      <x:c r="C35" s="15" t="str">
        <x:v>https://github.com/opencv/opencv_contrib</x:v>
      </x:c>
      <x:c r="D35" s="15" t="str">
        <x:v>https://github.com/opencv/opencv_contrib/blob/4.x/modules/cudaimgproc/src/cuda/hough_lines.cu</x:v>
      </x:c>
      <x:c r="E35" s="15" t="str">
        <x:v>modules/cudaimgproc/src/cuda/hough_lines.cu</x:v>
      </x:c>
      <x:c r="F35" s="15" t="str">
        <x:v>HoughLines kernels</x:v>
      </x:c>
      <x:c r="G35" s="15" t="str">
        <x:v>image analysis</x:v>
      </x:c>
      <x:c r="H35" s="15" t="str">
        <x:v>feature detection</x:v>
      </x:c>
      <x:c r="I35" s="15" t="str">
        <x:v>Accumulator voting and thresholding; useful for non-DL image kernels</x:v>
      </x:c>
      <x:c r="J35" s="15" t="n">
        <x:v>5</x:v>
      </x:c>
      <x:c r="K35" s="15" t="n">
        <x:v>3</x:v>
      </x:c>
      <x:c r="L35" s="15" t="n">
        <x:v>4</x:v>
      </x:c>
      <x:c r="M35" s="15" t="str">
        <x:v>edge image + rho/theta params -&gt; line candidates</x:v>
      </x:c>
      <x:c r="N35" s="15" t="str">
        <x:v>OpenCV CPU HoughLines reference</x:v>
      </x:c>
      <x:c r="O35" s="15" t="str">
        <x:v>Apache-2.0</x:v>
      </x:c>
      <x:c r="P35" s="15" t="str">
        <x:v>https://github.com/opencv/opencv_contrib/blob/4.x/LICENSE</x:v>
      </x:c>
      <x:c r="Q35" s="15" t="str">
        <x:v>Contrib repository: keep file notices; check module-level third-party notices before redistribution.</x:v>
      </x:c>
      <x:c r="R35" s="15" t="str">
        <x:v>Medium-High</x:v>
      </x:c>
      <x:c r="S35" s="15" t="n">
        <x:f>ROUND(0.45*J35+0.25*K35+0.2*L35+0.1*IF(OR(O35="Apache-2.0",O35="BSD-3-Clause",LEFT(O35,3)="BSD"),5,3),2)</x:f>
        <x:v>4.3</x:v>
      </x:c>
    </x:row>
    <x:row r="36" ht="54" customHeight="1">
      <x:c r="A36" s="15" t="str">
        <x:v>K035</x:v>
      </x:c>
      <x:c r="B36" s="15" t="str">
        <x:v>opencv/opencv_contrib</x:v>
      </x:c>
      <x:c r="C36" s="15" t="str">
        <x:v>https://github.com/opencv/opencv_contrib</x:v>
      </x:c>
      <x:c r="D36" s="15" t="str">
        <x:v>https://github.com/opencv/opencv_contrib/blob/4.x/modules/cudaimgproc/src/cuda/hough_segments.cu</x:v>
      </x:c>
      <x:c r="E36" s="15" t="str">
        <x:v>modules/cudaimgproc/src/cuda/hough_segments.cu</x:v>
      </x:c>
      <x:c r="F36" s="15" t="str">
        <x:v>HoughSegments kernels</x:v>
      </x:c>
      <x:c r="G36" s="15" t="str">
        <x:v>image analysis</x:v>
      </x:c>
      <x:c r="H36" s="15" t="str">
        <x:v>feature detection</x:v>
      </x:c>
      <x:c r="I36" s="15" t="str">
        <x:v>Line segment extraction; more complex post-processing</x:v>
      </x:c>
      <x:c r="J36" s="15" t="n">
        <x:v>5</x:v>
      </x:c>
      <x:c r="K36" s="15" t="n">
        <x:v>3</x:v>
      </x:c>
      <x:c r="L36" s="15" t="n">
        <x:v>4</x:v>
      </x:c>
      <x:c r="M36" s="15" t="str">
        <x:v>edge image + params -&gt; line segments</x:v>
      </x:c>
      <x:c r="N36" s="15" t="str">
        <x:v>OpenCV CPU HoughLinesP reference</x:v>
      </x:c>
      <x:c r="O36" s="15" t="str">
        <x:v>Apache-2.0</x:v>
      </x:c>
      <x:c r="P36" s="15" t="str">
        <x:v>https://github.com/opencv/opencv_contrib/blob/4.x/LICENSE</x:v>
      </x:c>
      <x:c r="Q36" s="15" t="str">
        <x:v>Contrib repository: keep file notices; check module-level third-party notices before redistribution.</x:v>
      </x:c>
      <x:c r="R36" s="15" t="str">
        <x:v>Medium-High</x:v>
      </x:c>
      <x:c r="S36" s="15" t="n">
        <x:f>ROUND(0.45*J36+0.25*K36+0.2*L36+0.1*IF(OR(O36="Apache-2.0",O36="BSD-3-Clause",LEFT(O36,3)="BSD"),5,3),2)</x:f>
        <x:v>4.3</x:v>
      </x:c>
    </x:row>
    <x:row r="37" ht="54" customHeight="1">
      <x:c r="A37" s="15" t="str">
        <x:v>K036</x:v>
      </x:c>
      <x:c r="B37" s="15" t="str">
        <x:v>opencv/opencv_contrib</x:v>
      </x:c>
      <x:c r="C37" s="15" t="str">
        <x:v>https://github.com/opencv/opencv_contrib</x:v>
      </x:c>
      <x:c r="D37" s="15" t="str">
        <x:v>https://github.com/opencv/opencv_contrib/blob/4.x/modules/cudaimgproc/src/cuda/clahe.cu</x:v>
      </x:c>
      <x:c r="E37" s="15" t="str">
        <x:v>modules/cudaimgproc/src/cuda/clahe.cu</x:v>
      </x:c>
      <x:c r="F37" s="15" t="str">
        <x:v>CLAHE kernels</x:v>
      </x:c>
      <x:c r="G37" s="15" t="str">
        <x:v>image enhancement</x:v>
      </x:c>
      <x:c r="H37" s="15" t="str">
        <x:v>histogram/equalization</x:v>
      </x:c>
      <x:c r="I37" s="15" t="str">
        <x:v>Tile histograms + interpolation; atomics, shared memory, boundary cases</x:v>
      </x:c>
      <x:c r="J37" s="15" t="n">
        <x:v>5</x:v>
      </x:c>
      <x:c r="K37" s="15" t="n">
        <x:v>4</x:v>
      </x:c>
      <x:c r="L37" s="15" t="n">
        <x:v>5</x:v>
      </x:c>
      <x:c r="M37" s="15" t="str">
        <x:v>grayscale image + clip limit/tile grid -&gt; enhanced image</x:v>
      </x:c>
      <x:c r="N37" s="15" t="str">
        <x:v>OpenCV CPU CLAHE reference</x:v>
      </x:c>
      <x:c r="O37" s="15" t="str">
        <x:v>Apache-2.0</x:v>
      </x:c>
      <x:c r="P37" s="15" t="str">
        <x:v>https://github.com/opencv/opencv_contrib/blob/4.x/LICENSE</x:v>
      </x:c>
      <x:c r="Q37" s="15" t="str">
        <x:v>Contrib repository: keep file notices; check module-level third-party notices before redistribution.</x:v>
      </x:c>
      <x:c r="R37" s="15" t="str">
        <x:v>Medium-High</x:v>
      </x:c>
      <x:c r="S37" s="15" t="n">
        <x:f>ROUND(0.45*J37+0.25*K37+0.2*L37+0.1*IF(OR(O37="Apache-2.0",O37="BSD-3-Clause",LEFT(O37,3)="BSD"),5,3),2)</x:f>
        <x:v>4.75</x:v>
      </x:c>
    </x:row>
    <x:row r="38" ht="54" customHeight="1">
      <x:c r="A38" s="15" t="str">
        <x:v>K037</x:v>
      </x:c>
      <x:c r="B38" s="15" t="str">
        <x:v>opencv/opencv_contrib</x:v>
      </x:c>
      <x:c r="C38" s="15" t="str">
        <x:v>https://github.com/opencv/opencv_contrib</x:v>
      </x:c>
      <x:c r="D38" s="15" t="str">
        <x:v>https://github.com/opencv/opencv_contrib/blob/4.x/modules/cudafilters/src/cuda/filter2d.cu</x:v>
      </x:c>
      <x:c r="E38" s="15" t="str">
        <x:v>modules/cudafilters/src/cuda/filter2d.cu</x:v>
      </x:c>
      <x:c r="F38" s="15" t="str">
        <x:v>Filter2D kernels</x:v>
      </x:c>
      <x:c r="G38" s="15" t="str">
        <x:v>image filtering</x:v>
      </x:c>
      <x:c r="H38" s="15" t="str">
        <x:v>convolution/filter</x:v>
      </x:c>
      <x:c r="I38" s="15" t="str">
        <x:v>2D convolution stencil; border modes and memory access are central</x:v>
      </x:c>
      <x:c r="J38" s="15" t="n">
        <x:v>4</x:v>
      </x:c>
      <x:c r="K38" s="15" t="n">
        <x:v>5</x:v>
      </x:c>
      <x:c r="L38" s="15" t="n">
        <x:v>5</x:v>
      </x:c>
      <x:c r="M38" s="15" t="str">
        <x:v>image + convolution kernel + border mode -&gt; filtered image</x:v>
      </x:c>
      <x:c r="N38" s="15" t="str">
        <x:v>OpenCV CPU filter2D reference</x:v>
      </x:c>
      <x:c r="O38" s="15" t="str">
        <x:v>Apache-2.0</x:v>
      </x:c>
      <x:c r="P38" s="15" t="str">
        <x:v>https://github.com/opencv/opencv_contrib/blob/4.x/LICENSE</x:v>
      </x:c>
      <x:c r="Q38" s="15" t="str">
        <x:v>Contrib repository: keep file notices; check module-level third-party notices before redistribution.</x:v>
      </x:c>
      <x:c r="R38" s="15" t="str">
        <x:v>Medium-High</x:v>
      </x:c>
      <x:c r="S38" s="15" t="n">
        <x:f>ROUND(0.45*J38+0.25*K38+0.2*L38+0.1*IF(OR(O38="Apache-2.0",O38="BSD-3-Clause",LEFT(O38,3)="BSD"),5,3),2)</x:f>
        <x:v>4.55</x:v>
      </x:c>
    </x:row>
    <x:row r="39" ht="54" customHeight="1">
      <x:c r="A39" s="15" t="str">
        <x:v>K038</x:v>
      </x:c>
      <x:c r="B39" s="15" t="str">
        <x:v>opencv/opencv_contrib</x:v>
      </x:c>
      <x:c r="C39" s="15" t="str">
        <x:v>https://github.com/opencv/opencv_contrib</x:v>
      </x:c>
      <x:c r="D39" s="15" t="str">
        <x:v>https://github.com/opencv/opencv_contrib/blob/4.x/modules/cudafilters/src/cuda/row_filter.cu</x:v>
      </x:c>
      <x:c r="E39" s="15" t="str">
        <x:v>modules/cudafilters/src/cuda/row_filter.cu</x:v>
      </x:c>
      <x:c r="F39" s="15" t="str">
        <x:v>RowFilter kernels</x:v>
      </x:c>
      <x:c r="G39" s="15" t="str">
        <x:v>image filtering</x:v>
      </x:c>
      <x:c r="H39" s="15" t="str">
        <x:v>separable convolution</x:v>
      </x:c>
      <x:c r="I39" s="15" t="str">
        <x:v>1D horizontal convolution; tests shared memory/halo handling</x:v>
      </x:c>
      <x:c r="J39" s="15" t="n">
        <x:v>4</x:v>
      </x:c>
      <x:c r="K39" s="15" t="n">
        <x:v>5</x:v>
      </x:c>
      <x:c r="L39" s="15" t="n">
        <x:v>5</x:v>
      </x:c>
      <x:c r="M39" s="15" t="str">
        <x:v>image + row kernel -&gt; row-filtered image</x:v>
      </x:c>
      <x:c r="N39" s="15" t="str">
        <x:v>OpenCV CPU sepFilter2D first stage</x:v>
      </x:c>
      <x:c r="O39" s="15" t="str">
        <x:v>Apache-2.0</x:v>
      </x:c>
      <x:c r="P39" s="15" t="str">
        <x:v>https://github.com/opencv/opencv_contrib/blob/4.x/LICENSE</x:v>
      </x:c>
      <x:c r="Q39" s="15" t="str">
        <x:v>Contrib repository: keep file notices; check module-level third-party notices before redistribution.</x:v>
      </x:c>
      <x:c r="R39" s="15" t="str">
        <x:v>Medium-High</x:v>
      </x:c>
      <x:c r="S39" s="15" t="n">
        <x:f>ROUND(0.45*J39+0.25*K39+0.2*L39+0.1*IF(OR(O39="Apache-2.0",O39="BSD-3-Clause",LEFT(O39,3)="BSD"),5,3),2)</x:f>
        <x:v>4.55</x:v>
      </x:c>
    </x:row>
    <x:row r="40" ht="54" customHeight="1">
      <x:c r="A40" s="15" t="str">
        <x:v>K039</x:v>
      </x:c>
      <x:c r="B40" s="15" t="str">
        <x:v>opencv/opencv_contrib</x:v>
      </x:c>
      <x:c r="C40" s="15" t="str">
        <x:v>https://github.com/opencv/opencv_contrib</x:v>
      </x:c>
      <x:c r="D40" s="15" t="str">
        <x:v>https://github.com/opencv/opencv_contrib/blob/4.x/modules/cudafilters/src/cuda/column_filter.cu</x:v>
      </x:c>
      <x:c r="E40" s="15" t="str">
        <x:v>modules/cudafilters/src/cuda/column_filter.cu</x:v>
      </x:c>
      <x:c r="F40" s="15" t="str">
        <x:v>ColumnFilter kernels</x:v>
      </x:c>
      <x:c r="G40" s="15" t="str">
        <x:v>image filtering</x:v>
      </x:c>
      <x:c r="H40" s="15" t="str">
        <x:v>separable convolution</x:v>
      </x:c>
      <x:c r="I40" s="15" t="str">
        <x:v>1D vertical convolution; less coalesced memory access</x:v>
      </x:c>
      <x:c r="J40" s="15" t="n">
        <x:v>4</x:v>
      </x:c>
      <x:c r="K40" s="15" t="n">
        <x:v>5</x:v>
      </x:c>
      <x:c r="L40" s="15" t="n">
        <x:v>5</x:v>
      </x:c>
      <x:c r="M40" s="15" t="str">
        <x:v>image + column kernel -&gt; column-filtered image</x:v>
      </x:c>
      <x:c r="N40" s="15" t="str">
        <x:v>OpenCV CPU sepFilter2D second stage</x:v>
      </x:c>
      <x:c r="O40" s="15" t="str">
        <x:v>Apache-2.0</x:v>
      </x:c>
      <x:c r="P40" s="15" t="str">
        <x:v>https://github.com/opencv/opencv_contrib/blob/4.x/LICENSE</x:v>
      </x:c>
      <x:c r="Q40" s="15" t="str">
        <x:v>Contrib repository: keep file notices; check module-level third-party notices before redistribution.</x:v>
      </x:c>
      <x:c r="R40" s="15" t="str">
        <x:v>Medium-High</x:v>
      </x:c>
      <x:c r="S40" s="15" t="n">
        <x:f>ROUND(0.45*J40+0.25*K40+0.2*L40+0.1*IF(OR(O40="Apache-2.0",O40="BSD-3-Clause",LEFT(O40,3)="BSD"),5,3),2)</x:f>
        <x:v>4.55</x:v>
      </x:c>
    </x:row>
    <x:row r="41" ht="54" customHeight="1">
      <x:c r="A41" s="15" t="str">
        <x:v>K040</x:v>
      </x:c>
      <x:c r="B41" s="15" t="str">
        <x:v>opencv/opencv_contrib</x:v>
      </x:c>
      <x:c r="C41" s="15" t="str">
        <x:v>https://github.com/opencv/opencv_contrib</x:v>
      </x:c>
      <x:c r="D41" s="15" t="str">
        <x:v>https://github.com/opencv/opencv_contrib/blob/4.x/modules/cudafilters/src/cuda/separable_filter.cu</x:v>
      </x:c>
      <x:c r="E41" s="15" t="str">
        <x:v>modules/cudafilters/src/cuda/separable_filter.cu</x:v>
      </x:c>
      <x:c r="F41" s="15" t="str">
        <x:v>SeparableFilter kernels</x:v>
      </x:c>
      <x:c r="G41" s="15" t="str">
        <x:v>image filtering</x:v>
      </x:c>
      <x:c r="H41" s="15" t="str">
        <x:v>separable convolution</x:v>
      </x:c>
      <x:c r="I41" s="15" t="str">
        <x:v>Two-pass separable convolution; good extraction target</x:v>
      </x:c>
      <x:c r="J41" s="15" t="n">
        <x:v>4</x:v>
      </x:c>
      <x:c r="K41" s="15" t="n">
        <x:v>5</x:v>
      </x:c>
      <x:c r="L41" s="15" t="n">
        <x:v>5</x:v>
      </x:c>
      <x:c r="M41" s="15" t="str">
        <x:v>image + row/column kernels -&gt; filtered image</x:v>
      </x:c>
      <x:c r="N41" s="15" t="str">
        <x:v>OpenCV CPU sepFilter2D reference</x:v>
      </x:c>
      <x:c r="O41" s="15" t="str">
        <x:v>Apache-2.0</x:v>
      </x:c>
      <x:c r="P41" s="15" t="str">
        <x:v>https://github.com/opencv/opencv_contrib/blob/4.x/LICENSE</x:v>
      </x:c>
      <x:c r="Q41" s="15" t="str">
        <x:v>Contrib repository: keep file notices; check module-level third-party notices before redistribution.</x:v>
      </x:c>
      <x:c r="R41" s="15" t="str">
        <x:v>Medium-High</x:v>
      </x:c>
      <x:c r="S41" s="15" t="n">
        <x:f>ROUND(0.45*J41+0.25*K41+0.2*L41+0.1*IF(OR(O41="Apache-2.0",O41="BSD-3-Clause",LEFT(O41,3)="BSD"),5,3),2)</x:f>
        <x:v>4.55</x:v>
      </x:c>
    </x:row>
    <x:row r="42" ht="54" customHeight="1">
      <x:c r="A42" s="15" t="str">
        <x:v>K041</x:v>
      </x:c>
      <x:c r="B42" s="15" t="str">
        <x:v>opencv/opencv_contrib</x:v>
      </x:c>
      <x:c r="C42" s="15" t="str">
        <x:v>https://github.com/opencv/opencv_contrib</x:v>
      </x:c>
      <x:c r="D42" s="15" t="str">
        <x:v>https://github.com/opencv/opencv_contrib/blob/4.x/modules/cudafilters/src/cuda/morphology.cu</x:v>
      </x:c>
      <x:c r="E42" s="15" t="str">
        <x:v>modules/cudafilters/src/cuda/morphology.cu</x:v>
      </x:c>
      <x:c r="F42" s="15" t="str">
        <x:v>Morphology kernels</x:v>
      </x:c>
      <x:c r="G42" s="15" t="str">
        <x:v>image filtering</x:v>
      </x:c>
      <x:c r="H42" s="15" t="str">
        <x:v>morphology</x:v>
      </x:c>
      <x:c r="I42" s="15" t="str">
        <x:v>Erode/dilate style stencil with masks and border handling</x:v>
      </x:c>
      <x:c r="J42" s="15" t="n">
        <x:v>4</x:v>
      </x:c>
      <x:c r="K42" s="15" t="n">
        <x:v>5</x:v>
      </x:c>
      <x:c r="L42" s="15" t="n">
        <x:v>5</x:v>
      </x:c>
      <x:c r="M42" s="15" t="str">
        <x:v>image + structuring element -&gt; eroded/dilated image</x:v>
      </x:c>
      <x:c r="N42" s="15" t="str">
        <x:v>OpenCV CPU erode/dilate reference</x:v>
      </x:c>
      <x:c r="O42" s="15" t="str">
        <x:v>Apache-2.0</x:v>
      </x:c>
      <x:c r="P42" s="15" t="str">
        <x:v>https://github.com/opencv/opencv_contrib/blob/4.x/LICENSE</x:v>
      </x:c>
      <x:c r="Q42" s="15" t="str">
        <x:v>Contrib repository: keep file notices; check module-level third-party notices before redistribution.</x:v>
      </x:c>
      <x:c r="R42" s="15" t="str">
        <x:v>Medium-High</x:v>
      </x:c>
      <x:c r="S42" s="15" t="n">
        <x:f>ROUND(0.45*J42+0.25*K42+0.2*L42+0.1*IF(OR(O42="Apache-2.0",O42="BSD-3-Clause",LEFT(O42,3)="BSD"),5,3),2)</x:f>
        <x:v>4.55</x:v>
      </x:c>
    </x:row>
    <x:row r="43" ht="54" customHeight="1">
      <x:c r="A43" s="15" t="str">
        <x:v>K042</x:v>
      </x:c>
      <x:c r="B43" s="15" t="str">
        <x:v>opencv/opencv_contrib</x:v>
      </x:c>
      <x:c r="C43" s="15" t="str">
        <x:v>https://github.com/opencv/opencv_contrib</x:v>
      </x:c>
      <x:c r="D43" s="15" t="str">
        <x:v>https://github.com/opencv/opencv_contrib/blob/4.x/modules/cudafilters/src/cuda/median_filter.cu</x:v>
      </x:c>
      <x:c r="E43" s="15" t="str">
        <x:v>modules/cudafilters/src/cuda/median_filter.cu</x:v>
      </x:c>
      <x:c r="F43" s="15" t="str">
        <x:v>MedianFilter kernels</x:v>
      </x:c>
      <x:c r="G43" s="15" t="str">
        <x:v>image filtering</x:v>
      </x:c>
      <x:c r="H43" s="15" t="str">
        <x:v>nonlinear filter</x:v>
      </x:c>
      <x:c r="I43" s="15" t="str">
        <x:v>Window sorting/selection; more than simple stencil</x:v>
      </x:c>
      <x:c r="J43" s="15" t="n">
        <x:v>5</x:v>
      </x:c>
      <x:c r="K43" s="15" t="n">
        <x:v>4</x:v>
      </x:c>
      <x:c r="L43" s="15" t="n">
        <x:v>5</x:v>
      </x:c>
      <x:c r="M43" s="15" t="str">
        <x:v>image + window size -&gt; median-filtered image</x:v>
      </x:c>
      <x:c r="N43" s="15" t="str">
        <x:v>OpenCV CPU medianBlur reference</x:v>
      </x:c>
      <x:c r="O43" s="15" t="str">
        <x:v>Apache-2.0</x:v>
      </x:c>
      <x:c r="P43" s="15" t="str">
        <x:v>https://github.com/opencv/opencv_contrib/blob/4.x/LICENSE</x:v>
      </x:c>
      <x:c r="Q43" s="15" t="str">
        <x:v>Contrib repository: keep file notices; check module-level third-party notices before redistribution.</x:v>
      </x:c>
      <x:c r="R43" s="15" t="str">
        <x:v>Medium-High</x:v>
      </x:c>
      <x:c r="S43" s="15" t="n">
        <x:f>ROUND(0.45*J43+0.25*K43+0.2*L43+0.1*IF(OR(O43="Apache-2.0",O43="BSD-3-Clause",LEFT(O43,3)="BSD"),5,3),2)</x:f>
        <x:v>4.75</x:v>
      </x:c>
    </x:row>
    <x:row r="44" ht="54" customHeight="1">
      <x:c r="A44" s="15" t="str">
        <x:v>K043</x:v>
      </x:c>
      <x:c r="B44" s="15" t="str">
        <x:v>opencv/opencv_contrib</x:v>
      </x:c>
      <x:c r="C44" s="15" t="str">
        <x:v>https://github.com/opencv/opencv_contrib</x:v>
      </x:c>
      <x:c r="D44" s="15" t="str">
        <x:v>https://github.com/opencv/opencv_contrib/blob/4.x/modules/cudawarping/src/cuda/resize.cu</x:v>
      </x:c>
      <x:c r="E44" s="15" t="str">
        <x:v>modules/cudawarping/src/cuda/resize.cu</x:v>
      </x:c>
      <x:c r="F44" s="15" t="str">
        <x:v>Resize kernels</x:v>
      </x:c>
      <x:c r="G44" s="15" t="str">
        <x:v>image preprocessing</x:v>
      </x:c>
      <x:c r="H44" s="15" t="str">
        <x:v>resize/interpolation</x:v>
      </x:c>
      <x:c r="I44" s="15" t="str">
        <x:v>Classic interpolation kernel; easy IO and high practical value</x:v>
      </x:c>
      <x:c r="J44" s="15" t="n">
        <x:v>4</x:v>
      </x:c>
      <x:c r="K44" s="15" t="n">
        <x:v>5</x:v>
      </x:c>
      <x:c r="L44" s="15" t="n">
        <x:v>5</x:v>
      </x:c>
      <x:c r="M44" s="15" t="str">
        <x:v>image + target size/interpolation -&gt; resized image</x:v>
      </x:c>
      <x:c r="N44" s="15" t="str">
        <x:v>OpenCV CPU resize reference</x:v>
      </x:c>
      <x:c r="O44" s="15" t="str">
        <x:v>Apache-2.0</x:v>
      </x:c>
      <x:c r="P44" s="15" t="str">
        <x:v>https://github.com/opencv/opencv_contrib/blob/4.x/LICENSE</x:v>
      </x:c>
      <x:c r="Q44" s="15" t="str">
        <x:v>Contrib repository: keep file notices; check module-level third-party notices before redistribution.</x:v>
      </x:c>
      <x:c r="R44" s="15" t="str">
        <x:v>Medium-High</x:v>
      </x:c>
      <x:c r="S44" s="15" t="n">
        <x:f>ROUND(0.45*J44+0.25*K44+0.2*L44+0.1*IF(OR(O44="Apache-2.0",O44="BSD-3-Clause",LEFT(O44,3)="BSD"),5,3),2)</x:f>
        <x:v>4.55</x:v>
      </x:c>
    </x:row>
    <x:row r="45" ht="54" customHeight="1">
      <x:c r="A45" s="15" t="str">
        <x:v>K044</x:v>
      </x:c>
      <x:c r="B45" s="15" t="str">
        <x:v>opencv/opencv_contrib</x:v>
      </x:c>
      <x:c r="C45" s="15" t="str">
        <x:v>https://github.com/opencv/opencv_contrib</x:v>
      </x:c>
      <x:c r="D45" s="15" t="str">
        <x:v>https://github.com/opencv/opencv_contrib/blob/4.x/modules/cudawarping/src/cuda/warp.cu</x:v>
      </x:c>
      <x:c r="E45" s="15" t="str">
        <x:v>modules/cudawarping/src/cuda/warp.cu</x:v>
      </x:c>
      <x:c r="F45" s="15" t="str">
        <x:v>Warp kernels</x:v>
      </x:c>
      <x:c r="G45" s="15" t="str">
        <x:v>image processing</x:v>
      </x:c>
      <x:c r="H45" s="15" t="str">
        <x:v>geometric transform</x:v>
      </x:c>
      <x:c r="I45" s="15" t="str">
        <x:v>Remap/warp affine/perspective style coordinates; border modes</x:v>
      </x:c>
      <x:c r="J45" s="15" t="n">
        <x:v>5</x:v>
      </x:c>
      <x:c r="K45" s="15" t="n">
        <x:v>4</x:v>
      </x:c>
      <x:c r="L45" s="15" t="n">
        <x:v>5</x:v>
      </x:c>
      <x:c r="M45" s="15" t="str">
        <x:v>image + transform/map + interpolation -&gt; warped image</x:v>
      </x:c>
      <x:c r="N45" s="15" t="str">
        <x:v>OpenCV CPU remap/warpAffine/warpPerspective reference</x:v>
      </x:c>
      <x:c r="O45" s="15" t="str">
        <x:v>Apache-2.0</x:v>
      </x:c>
      <x:c r="P45" s="15" t="str">
        <x:v>https://github.com/opencv/opencv_contrib/blob/4.x/LICENSE</x:v>
      </x:c>
      <x:c r="Q45" s="15" t="str">
        <x:v>Contrib repository: keep file notices; check module-level third-party notices before redistribution.</x:v>
      </x:c>
      <x:c r="R45" s="15" t="str">
        <x:v>Medium-High</x:v>
      </x:c>
      <x:c r="S45" s="15" t="n">
        <x:f>ROUND(0.45*J45+0.25*K45+0.2*L45+0.1*IF(OR(O45="Apache-2.0",O45="BSD-3-Clause",LEFT(O45,3)="BSD"),5,3),2)</x:f>
        <x:v>4.75</x:v>
      </x:c>
    </x:row>
    <x:row r="46" ht="54" customHeight="1">
      <x:c r="A46" s="15" t="str">
        <x:v>K045</x:v>
      </x:c>
      <x:c r="B46" s="15" t="str">
        <x:v>open-mmlab/mmcv</x:v>
      </x:c>
      <x:c r="C46" s="15" t="str">
        <x:v>https://github.com/open-mmlab/mmcv</x:v>
      </x:c>
      <x:c r="D46" s="15" t="str">
        <x:v>https://github.com/open-mmlab/mmcv/blob/main/mmcv/ops/csrc/pytorch/cuda/active_rotated_filter_cuda.cu</x:v>
      </x:c>
      <x:c r="E46" s="15" t="str">
        <x:v>mmcv/ops/csrc/pytorch/cuda/active_rotated_filter_cuda.cu</x:v>
      </x:c>
      <x:c r="F46" s="15" t="str">
        <x:v>ActiveRotatedFilter</x:v>
      </x:c>
      <x:c r="G46" s="15" t="str">
        <x:v>CV detection</x:v>
      </x:c>
      <x:c r="H46" s="15" t="str">
        <x:v>rotated convolution/filter</x:v>
      </x:c>
      <x:c r="I46" s="15" t="str">
        <x:v>Rotated filter indexing; unusual geometry-heavy indexing</x:v>
      </x:c>
      <x:c r="J46" s="15" t="n">
        <x:v>4</x:v>
      </x:c>
      <x:c r="K46" s="15" t="n">
        <x:v>4</x:v>
      </x:c>
      <x:c r="L46" s="15" t="n">
        <x:v>4</x:v>
      </x:c>
      <x:c r="M46" s="15" t="str">
        <x:v>feature/filter tensors + rotation indices -&gt; transformed filters</x:v>
      </x:c>
      <x:c r="N46" s="15" t="str">
        <x:v>PyTorch CPU reference or mmcv op comparison</x:v>
      </x:c>
      <x:c r="O46" s="15" t="str">
        <x:v>Apache-2.0</x:v>
      </x:c>
      <x:c r="P46" s="15" t="str">
        <x:v>https://github.com/open-mmlab/mmcv/blob/main/LICENSE</x:v>
      </x:c>
      <x:c r="Q46" s="15" t="str">
        <x:v>MMCV has special-license exceptions; this row avoids the NVIDIA-license exceptions listed in LICENSES.md unless later file-level review says otherwise.</x:v>
      </x:c>
      <x:c r="R46" s="15" t="str">
        <x:v>Medium-High</x:v>
      </x:c>
      <x:c r="S46" s="15" t="n">
        <x:f>ROUND(0.45*J46+0.25*K46+0.2*L46+0.1*IF(OR(O46="Apache-2.0",O46="BSD-3-Clause",LEFT(O46,3)="BSD"),5,3),2)</x:f>
        <x:v>4.1</x:v>
      </x:c>
    </x:row>
    <x:row r="47" ht="54" customHeight="1">
      <x:c r="A47" s="15" t="str">
        <x:v>K046</x:v>
      </x:c>
      <x:c r="B47" s="15" t="str">
        <x:v>open-mmlab/mmcv</x:v>
      </x:c>
      <x:c r="C47" s="15" t="str">
        <x:v>https://github.com/open-mmlab/mmcv</x:v>
      </x:c>
      <x:c r="D47" s="15" t="str">
        <x:v>https://github.com/open-mmlab/mmcv/blob/main/mmcv/ops/csrc/pytorch/cuda/assign_score_withk_cuda.cu</x:v>
      </x:c>
      <x:c r="E47" s="15" t="str">
        <x:v>mmcv/ops/csrc/pytorch/cuda/assign_score_withk_cuda.cu</x:v>
      </x:c>
      <x:c r="F47" s="15" t="str">
        <x:v>AssignScoreWithK</x:v>
      </x:c>
      <x:c r="G47" s="15" t="str">
        <x:v>point cloud / vision</x:v>
      </x:c>
      <x:c r="H47" s="15" t="str">
        <x:v>point aggregation</x:v>
      </x:c>
      <x:c r="I47" s="15" t="str">
        <x:v>Neighborhood score aggregation; irregular access</x:v>
      </x:c>
      <x:c r="J47" s="15" t="n">
        <x:v>4</x:v>
      </x:c>
      <x:c r="K47" s="15" t="n">
        <x:v>4</x:v>
      </x:c>
      <x:c r="L47" s="15" t="n">
        <x:v>4</x:v>
      </x:c>
      <x:c r="M47" s="15" t="str">
        <x:v>points/features/scores + K-neighborhood -&gt; aggregated features</x:v>
      </x:c>
      <x:c r="N47" s="15" t="str">
        <x:v>PyTorch scatter/gather reference</x:v>
      </x:c>
      <x:c r="O47" s="15" t="str">
        <x:v>Apache-2.0</x:v>
      </x:c>
      <x:c r="P47" s="15" t="str">
        <x:v>https://github.com/open-mmlab/mmcv/blob/main/LICENSE</x:v>
      </x:c>
      <x:c r="Q47" s="15" t="str">
        <x:v>MMCV has special-license exceptions; this row avoids the NVIDIA-license exceptions listed in LICENSES.md unless later file-level review says otherwise.</x:v>
      </x:c>
      <x:c r="R47" s="15" t="str">
        <x:v>Medium-High</x:v>
      </x:c>
      <x:c r="S47" s="15" t="n">
        <x:f>ROUND(0.45*J47+0.25*K47+0.2*L47+0.1*IF(OR(O47="Apache-2.0",O47="BSD-3-Clause",LEFT(O47,3)="BSD"),5,3),2)</x:f>
        <x:v>4.1</x:v>
      </x:c>
    </x:row>
    <x:row r="48" ht="54" customHeight="1">
      <x:c r="A48" s="15" t="str">
        <x:v>K047</x:v>
      </x:c>
      <x:c r="B48" s="15" t="str">
        <x:v>open-mmlab/mmcv</x:v>
      </x:c>
      <x:c r="C48" s="15" t="str">
        <x:v>https://github.com/open-mmlab/mmcv</x:v>
      </x:c>
      <x:c r="D48" s="15" t="str">
        <x:v>https://github.com/open-mmlab/mmcv/blob/main/mmcv/ops/csrc/pytorch/cuda/ball_query_cuda.cu</x:v>
      </x:c>
      <x:c r="E48" s="15" t="str">
        <x:v>mmcv/ops/csrc/pytorch/cuda/ball_query_cuda.cu</x:v>
      </x:c>
      <x:c r="F48" s="15" t="str">
        <x:v>BallQuery</x:v>
      </x:c>
      <x:c r="G48" s="15" t="str">
        <x:v>3D vision</x:v>
      </x:c>
      <x:c r="H48" s="15" t="str">
        <x:v>point cloud query</x:v>
      </x:c>
      <x:c r="I48" s="15" t="str">
        <x:v>Radius-neighbor search; branchy irregular memory</x:v>
      </x:c>
      <x:c r="J48" s="15" t="n">
        <x:v>4</x:v>
      </x:c>
      <x:c r="K48" s="15" t="n">
        <x:v>4</x:v>
      </x:c>
      <x:c r="L48" s="15" t="n">
        <x:v>4</x:v>
      </x:c>
      <x:c r="M48" s="15" t="str">
        <x:v>xyz points + query centers + radius/nsample -&gt; neighbor indices</x:v>
      </x:c>
      <x:c r="N48" s="15" t="str">
        <x:v>CPU radius search reference</x:v>
      </x:c>
      <x:c r="O48" s="15" t="str">
        <x:v>Apache-2.0</x:v>
      </x:c>
      <x:c r="P48" s="15" t="str">
        <x:v>https://github.com/open-mmlab/mmcv/blob/main/LICENSE</x:v>
      </x:c>
      <x:c r="Q48" s="15" t="str">
        <x:v>MMCV has special-license exceptions; this row avoids the NVIDIA-license exceptions listed in LICENSES.md unless later file-level review says otherwise.</x:v>
      </x:c>
      <x:c r="R48" s="15" t="str">
        <x:v>Medium-High</x:v>
      </x:c>
      <x:c r="S48" s="15" t="n">
        <x:f>ROUND(0.45*J48+0.25*K48+0.2*L48+0.1*IF(OR(O48="Apache-2.0",O48="BSD-3-Clause",LEFT(O48,3)="BSD"),5,3),2)</x:f>
        <x:v>4.1</x:v>
      </x:c>
    </x:row>
    <x:row r="49" ht="54" customHeight="1">
      <x:c r="A49" s="15" t="str">
        <x:v>K048</x:v>
      </x:c>
      <x:c r="B49" s="15" t="str">
        <x:v>open-mmlab/mmcv</x:v>
      </x:c>
      <x:c r="C49" s="15" t="str">
        <x:v>https://github.com/open-mmlab/mmcv</x:v>
      </x:c>
      <x:c r="D49" s="15" t="str">
        <x:v>https://github.com/open-mmlab/mmcv/blob/main/mmcv/ops/csrc/pytorch/cuda/bbox_overlaps_cuda.cu</x:v>
      </x:c>
      <x:c r="E49" s="15" t="str">
        <x:v>mmcv/ops/csrc/pytorch/cuda/bbox_overlaps_cuda.cu</x:v>
      </x:c>
      <x:c r="F49" s="15" t="str">
        <x:v>BboxOverlaps</x:v>
      </x:c>
      <x:c r="G49" s="15" t="str">
        <x:v>object detection</x:v>
      </x:c>
      <x:c r="H49" s="15" t="str">
        <x:v>bbox geometry</x:v>
      </x:c>
      <x:c r="I49" s="15" t="str">
        <x:v>Pairwise IoU matrix; good standalone geometry kernel</x:v>
      </x:c>
      <x:c r="J49" s="15" t="n">
        <x:v>3</x:v>
      </x:c>
      <x:c r="K49" s="15" t="n">
        <x:v>5</x:v>
      </x:c>
      <x:c r="L49" s="15" t="n">
        <x:v>5</x:v>
      </x:c>
      <x:c r="M49" s="15" t="str">
        <x:v>boxes1, boxes2 -&gt; IoU/IoF matrix</x:v>
      </x:c>
      <x:c r="N49" s="15" t="str">
        <x:v>Python bbox IoU reference</x:v>
      </x:c>
      <x:c r="O49" s="15" t="str">
        <x:v>Apache-2.0</x:v>
      </x:c>
      <x:c r="P49" s="15" t="str">
        <x:v>https://github.com/open-mmlab/mmcv/blob/main/LICENSE</x:v>
      </x:c>
      <x:c r="Q49" s="15" t="str">
        <x:v>MMCV has special-license exceptions; this row avoids the NVIDIA-license exceptions listed in LICENSES.md unless later file-level review says otherwise.</x:v>
      </x:c>
      <x:c r="R49" s="15" t="str">
        <x:v>Medium-High</x:v>
      </x:c>
      <x:c r="S49" s="15" t="n">
        <x:f>ROUND(0.45*J49+0.25*K49+0.2*L49+0.1*IF(OR(O49="Apache-2.0",O49="BSD-3-Clause",LEFT(O49,3)="BSD"),5,3),2)</x:f>
        <x:v>4.1</x:v>
      </x:c>
    </x:row>
    <x:row r="50" ht="54" customHeight="1">
      <x:c r="A50" s="15" t="str">
        <x:v>K049</x:v>
      </x:c>
      <x:c r="B50" s="15" t="str">
        <x:v>open-mmlab/mmcv</x:v>
      </x:c>
      <x:c r="C50" s="15" t="str">
        <x:v>https://github.com/open-mmlab/mmcv</x:v>
      </x:c>
      <x:c r="D50" s="15" t="str">
        <x:v>https://github.com/open-mmlab/mmcv/blob/main/mmcv/ops/csrc/pytorch/cuda/border_align_cuda.cu</x:v>
      </x:c>
      <x:c r="E50" s="15" t="str">
        <x:v>mmcv/ops/csrc/pytorch/cuda/border_align_cuda.cu</x:v>
      </x:c>
      <x:c r="F50" s="15" t="str">
        <x:v>BorderAlign</x:v>
      </x:c>
      <x:c r="G50" s="15" t="str">
        <x:v>object detection</x:v>
      </x:c>
      <x:c r="H50" s="15" t="str">
        <x:v>ROI feature sampling</x:v>
      </x:c>
      <x:c r="I50" s="15" t="str">
        <x:v>Bilinear sampling along box borders; nontrivial indexing</x:v>
      </x:c>
      <x:c r="J50" s="15" t="n">
        <x:v>4</x:v>
      </x:c>
      <x:c r="K50" s="15" t="n">
        <x:v>4</x:v>
      </x:c>
      <x:c r="L50" s="15" t="n">
        <x:v>5</x:v>
      </x:c>
      <x:c r="M50" s="15" t="str">
        <x:v>feature map + boxes -&gt; aligned border features</x:v>
      </x:c>
      <x:c r="N50" s="15" t="str">
        <x:v>PyTorch grid_sample-style reference</x:v>
      </x:c>
      <x:c r="O50" s="15" t="str">
        <x:v>Apache-2.0</x:v>
      </x:c>
      <x:c r="P50" s="15" t="str">
        <x:v>https://github.com/open-mmlab/mmcv/blob/main/LICENSE</x:v>
      </x:c>
      <x:c r="Q50" s="15" t="str">
        <x:v>MMCV has special-license exceptions; this row avoids the NVIDIA-license exceptions listed in LICENSES.md unless later file-level review says otherwise.</x:v>
      </x:c>
      <x:c r="R50" s="15" t="str">
        <x:v>Medium-High</x:v>
      </x:c>
      <x:c r="S50" s="15" t="n">
        <x:f>ROUND(0.45*J50+0.25*K50+0.2*L50+0.1*IF(OR(O50="Apache-2.0",O50="BSD-3-Clause",LEFT(O50,3)="BSD"),5,3),2)</x:f>
        <x:v>4.3</x:v>
      </x:c>
    </x:row>
    <x:row r="51" ht="54" customHeight="1">
      <x:c r="A51" s="15" t="str">
        <x:v>K050</x:v>
      </x:c>
      <x:c r="B51" s="15" t="str">
        <x:v>open-mmlab/mmcv</x:v>
      </x:c>
      <x:c r="C51" s="15" t="str">
        <x:v>https://github.com/open-mmlab/mmcv</x:v>
      </x:c>
      <x:c r="D51" s="15" t="str">
        <x:v>https://github.com/open-mmlab/mmcv/blob/main/mmcv/ops/csrc/pytorch/cuda/box_iou_rotated_cuda.cu</x:v>
      </x:c>
      <x:c r="E51" s="15" t="str">
        <x:v>mmcv/ops/csrc/pytorch/cuda/box_iou_rotated_cuda.cu</x:v>
      </x:c>
      <x:c r="F51" s="15" t="str">
        <x:v>BoxIoURotated</x:v>
      </x:c>
      <x:c r="G51" s="15" t="str">
        <x:v>rotated detection</x:v>
      </x:c>
      <x:c r="H51" s="15" t="str">
        <x:v>rotated bbox geometry</x:v>
      </x:c>
      <x:c r="I51" s="15" t="str">
        <x:v>Rotated rectangle intersection; geometry + conditionals</x:v>
      </x:c>
      <x:c r="J51" s="15" t="n">
        <x:v>5</x:v>
      </x:c>
      <x:c r="K51" s="15" t="n">
        <x:v>4</x:v>
      </x:c>
      <x:c r="L51" s="15" t="n">
        <x:v>4</x:v>
      </x:c>
      <x:c r="M51" s="15" t="str">
        <x:v>rotated boxes1, boxes2 -&gt; IoU matrix</x:v>
      </x:c>
      <x:c r="N51" s="15" t="str">
        <x:v>Shapely/CPU polygon intersection reference</x:v>
      </x:c>
      <x:c r="O51" s="15" t="str">
        <x:v>Apache-2.0</x:v>
      </x:c>
      <x:c r="P51" s="15" t="str">
        <x:v>https://github.com/open-mmlab/mmcv/blob/main/LICENSE</x:v>
      </x:c>
      <x:c r="Q51" s="15" t="str">
        <x:v>MMCV has special-license exceptions; this row avoids the NVIDIA-license exceptions listed in LICENSES.md unless later file-level review says otherwise.</x:v>
      </x:c>
      <x:c r="R51" s="15" t="str">
        <x:v>Medium-High</x:v>
      </x:c>
      <x:c r="S51" s="15" t="n">
        <x:f>ROUND(0.45*J51+0.25*K51+0.2*L51+0.1*IF(OR(O51="Apache-2.0",O51="BSD-3-Clause",LEFT(O51,3)="BSD"),5,3),2)</x:f>
        <x:v>4.55</x:v>
      </x:c>
    </x:row>
    <x:row r="52" ht="54" customHeight="1">
      <x:c r="A52" s="15" t="str">
        <x:v>K051</x:v>
      </x:c>
      <x:c r="B52" s="15" t="str">
        <x:v>open-mmlab/mmcv</x:v>
      </x:c>
      <x:c r="C52" s="15" t="str">
        <x:v>https://github.com/open-mmlab/mmcv</x:v>
      </x:c>
      <x:c r="D52" s="15" t="str">
        <x:v>https://github.com/open-mmlab/mmcv/blob/main/mmcv/ops/csrc/pytorch/cuda/carafe_cuda.cu</x:v>
      </x:c>
      <x:c r="E52" s="15" t="str">
        <x:v>mmcv/ops/csrc/pytorch/cuda/carafe_cuda.cu</x:v>
      </x:c>
      <x:c r="F52" s="15" t="str">
        <x:v>CARAFE</x:v>
      </x:c>
      <x:c r="G52" s="15" t="str">
        <x:v>image restoration / detection</x:v>
      </x:c>
      <x:c r="H52" s="15" t="str">
        <x:v>upsampling</x:v>
      </x:c>
      <x:c r="I52" s="15" t="str">
        <x:v>Content-aware reassembly, dynamic kernels; excellent ML op</x:v>
      </x:c>
      <x:c r="J52" s="15" t="n">
        <x:v>5</x:v>
      </x:c>
      <x:c r="K52" s="15" t="n">
        <x:v>4</x:v>
      </x:c>
      <x:c r="L52" s="15" t="n">
        <x:v>4</x:v>
      </x:c>
      <x:c r="M52" s="15" t="str">
        <x:v>features + masks/kernels -&gt; upsampled features</x:v>
      </x:c>
      <x:c r="N52" s="15" t="str">
        <x:v>PyTorch unfold/einsum reference</x:v>
      </x:c>
      <x:c r="O52" s="15" t="str">
        <x:v>Apache-2.0</x:v>
      </x:c>
      <x:c r="P52" s="15" t="str">
        <x:v>https://github.com/open-mmlab/mmcv/blob/main/LICENSE</x:v>
      </x:c>
      <x:c r="Q52" s="15" t="str">
        <x:v>MMCV has special-license exceptions; this row avoids the NVIDIA-license exceptions listed in LICENSES.md unless later file-level review says otherwise.</x:v>
      </x:c>
      <x:c r="R52" s="15" t="str">
        <x:v>Medium-High</x:v>
      </x:c>
      <x:c r="S52" s="15" t="n">
        <x:f>ROUND(0.45*J52+0.25*K52+0.2*L52+0.1*IF(OR(O52="Apache-2.0",O52="BSD-3-Clause",LEFT(O52,3)="BSD"),5,3),2)</x:f>
        <x:v>4.55</x:v>
      </x:c>
    </x:row>
    <x:row r="53" ht="54" customHeight="1">
      <x:c r="A53" s="15" t="str">
        <x:v>K052</x:v>
      </x:c>
      <x:c r="B53" s="15" t="str">
        <x:v>open-mmlab/mmcv</x:v>
      </x:c>
      <x:c r="C53" s="15" t="str">
        <x:v>https://github.com/open-mmlab/mmcv</x:v>
      </x:c>
      <x:c r="D53" s="15" t="str">
        <x:v>https://github.com/open-mmlab/mmcv/blob/main/mmcv/ops/csrc/pytorch/cuda/chamfer_distance_cuda.cu</x:v>
      </x:c>
      <x:c r="E53" s="15" t="str">
        <x:v>mmcv/ops/csrc/pytorch/cuda/chamfer_distance_cuda.cu</x:v>
      </x:c>
      <x:c r="F53" s="15" t="str">
        <x:v>ChamferDistance</x:v>
      </x:c>
      <x:c r="G53" s="15" t="str">
        <x:v>3D vision</x:v>
      </x:c>
      <x:c r="H53" s="15" t="str">
        <x:v>point cloud distance</x:v>
      </x:c>
      <x:c r="I53" s="15" t="str">
        <x:v>Nearest-neighbor reduction; irregular and reduction-heavy</x:v>
      </x:c>
      <x:c r="J53" s="15" t="n">
        <x:v>4</x:v>
      </x:c>
      <x:c r="K53" s="15" t="n">
        <x:v>4</x:v>
      </x:c>
      <x:c r="L53" s="15" t="n">
        <x:v>5</x:v>
      </x:c>
      <x:c r="M53" s="15" t="str">
        <x:v>point sets A,B -&gt; nearest distances/indices</x:v>
      </x:c>
      <x:c r="N53" s="15" t="str">
        <x:v>CPU/PyTorch cdist min reference</x:v>
      </x:c>
      <x:c r="O53" s="15" t="str">
        <x:v>Apache-2.0</x:v>
      </x:c>
      <x:c r="P53" s="15" t="str">
        <x:v>https://github.com/open-mmlab/mmcv/blob/main/LICENSE</x:v>
      </x:c>
      <x:c r="Q53" s="15" t="str">
        <x:v>MMCV has special-license exceptions; this row avoids the NVIDIA-license exceptions listed in LICENSES.md unless later file-level review says otherwise.</x:v>
      </x:c>
      <x:c r="R53" s="15" t="str">
        <x:v>Medium-High</x:v>
      </x:c>
      <x:c r="S53" s="15" t="n">
        <x:f>ROUND(0.45*J53+0.25*K53+0.2*L53+0.1*IF(OR(O53="Apache-2.0",O53="BSD-3-Clause",LEFT(O53,3)="BSD"),5,3),2)</x:f>
        <x:v>4.3</x:v>
      </x:c>
    </x:row>
    <x:row r="54" ht="54" customHeight="1">
      <x:c r="A54" s="15" t="str">
        <x:v>K053</x:v>
      </x:c>
      <x:c r="B54" s="15" t="str">
        <x:v>open-mmlab/mmcv</x:v>
      </x:c>
      <x:c r="C54" s="15" t="str">
        <x:v>https://github.com/open-mmlab/mmcv</x:v>
      </x:c>
      <x:c r="D54" s="15" t="str">
        <x:v>https://github.com/open-mmlab/mmcv/blob/main/mmcv/ops/csrc/pytorch/cuda/contour_expand_kernel.cu</x:v>
      </x:c>
      <x:c r="E54" s="15" t="str">
        <x:v>mmcv/ops/csrc/pytorch/cuda/contour_expand_kernel.cu</x:v>
      </x:c>
      <x:c r="F54" s="15" t="str">
        <x:v>ContourExpand</x:v>
      </x:c>
      <x:c r="G54" s="15" t="str">
        <x:v>segmentation</x:v>
      </x:c>
      <x:c r="H54" s="15" t="str">
        <x:v>connected-region expansion</x:v>
      </x:c>
      <x:c r="I54" s="15" t="str">
        <x:v>Region/label propagation; branch-heavy image mask kernel</x:v>
      </x:c>
      <x:c r="J54" s="15" t="n">
        <x:v>4</x:v>
      </x:c>
      <x:c r="K54" s="15" t="n">
        <x:v>3</x:v>
      </x:c>
      <x:c r="L54" s="15" t="n">
        <x:v>4</x:v>
      </x:c>
      <x:c r="M54" s="15" t="str">
        <x:v>labels/masks + region metadata -&gt; expanded labels</x:v>
      </x:c>
      <x:c r="N54" s="15" t="str">
        <x:v>Python BFS/region growing reference</x:v>
      </x:c>
      <x:c r="O54" s="15" t="str">
        <x:v>Apache-2.0</x:v>
      </x:c>
      <x:c r="P54" s="15" t="str">
        <x:v>https://github.com/open-mmlab/mmcv/blob/main/LICENSE</x:v>
      </x:c>
      <x:c r="Q54" s="15" t="str">
        <x:v>MMCV has special-license exceptions; this row avoids the NVIDIA-license exceptions listed in LICENSES.md unless later file-level review says otherwise.</x:v>
      </x:c>
      <x:c r="R54" s="15" t="str">
        <x:v>Medium-High</x:v>
      </x:c>
      <x:c r="S54" s="15" t="n">
        <x:f>ROUND(0.45*J54+0.25*K54+0.2*L54+0.1*IF(OR(O54="Apache-2.0",O54="BSD-3-Clause",LEFT(O54,3)="BSD"),5,3),2)</x:f>
        <x:v>3.85</x:v>
      </x:c>
    </x:row>
    <x:row r="55" ht="54" customHeight="1">
      <x:c r="A55" s="15" t="str">
        <x:v>K054</x:v>
      </x:c>
      <x:c r="B55" s="15" t="str">
        <x:v>open-mmlab/mmcv</x:v>
      </x:c>
      <x:c r="C55" s="15" t="str">
        <x:v>https://github.com/open-mmlab/mmcv</x:v>
      </x:c>
      <x:c r="D55" s="15" t="str">
        <x:v>https://github.com/open-mmlab/mmcv/blob/main/mmcv/ops/csrc/pytorch/cuda/correlation_cuda.cu</x:v>
      </x:c>
      <x:c r="E55" s="15" t="str">
        <x:v>mmcv/ops/csrc/pytorch/cuda/correlation_cuda.cu</x:v>
      </x:c>
      <x:c r="F55" s="15" t="str">
        <x:v>Correlation</x:v>
      </x:c>
      <x:c r="G55" s="15" t="str">
        <x:v>optical flow / stereo</x:v>
      </x:c>
      <x:c r="H55" s="15" t="str">
        <x:v>cost volume</x:v>
      </x:c>
      <x:c r="I55" s="15" t="str">
        <x:v>Patch correlation/cost volume; convolution-like nested loops</x:v>
      </x:c>
      <x:c r="J55" s="15" t="n">
        <x:v>5</x:v>
      </x:c>
      <x:c r="K55" s="15" t="n">
        <x:v>4</x:v>
      </x:c>
      <x:c r="L55" s="15" t="n">
        <x:v>5</x:v>
      </x:c>
      <x:c r="M55" s="15" t="str">
        <x:v>feature maps A,B + displacement window -&gt; correlation volume</x:v>
      </x:c>
      <x:c r="N55" s="15" t="str">
        <x:v>PyTorch unfold correlation reference</x:v>
      </x:c>
      <x:c r="O55" s="15" t="str">
        <x:v>Apache-2.0</x:v>
      </x:c>
      <x:c r="P55" s="15" t="str">
        <x:v>https://github.com/open-mmlab/mmcv/blob/main/LICENSE</x:v>
      </x:c>
      <x:c r="Q55" s="15" t="str">
        <x:v>MMCV has special-license exceptions; this row avoids the NVIDIA-license exceptions listed in LICENSES.md unless later file-level review says otherwise.</x:v>
      </x:c>
      <x:c r="R55" s="15" t="str">
        <x:v>Medium-High</x:v>
      </x:c>
      <x:c r="S55" s="15" t="n">
        <x:f>ROUND(0.45*J55+0.25*K55+0.2*L55+0.1*IF(OR(O55="Apache-2.0",O55="BSD-3-Clause",LEFT(O55,3)="BSD"),5,3),2)</x:f>
        <x:v>4.75</x:v>
      </x:c>
    </x:row>
    <x:row r="56" ht="54" customHeight="1">
      <x:c r="A56" s="15" t="str">
        <x:v>K055</x:v>
      </x:c>
      <x:c r="B56" s="15" t="str">
        <x:v>open-mmlab/mmcv</x:v>
      </x:c>
      <x:c r="C56" s="15" t="str">
        <x:v>https://github.com/open-mmlab/mmcv</x:v>
      </x:c>
      <x:c r="D56" s="15" t="str">
        <x:v>https://github.com/open-mmlab/mmcv/blob/main/mmcv/ops/csrc/pytorch/cuda/deform_conv_cuda.cu</x:v>
      </x:c>
      <x:c r="E56" s="15" t="str">
        <x:v>mmcv/ops/csrc/pytorch/cuda/deform_conv_cuda.cu</x:v>
      </x:c>
      <x:c r="F56" s="15" t="str">
        <x:v>DeformConv</x:v>
      </x:c>
      <x:c r="G56" s="15" t="str">
        <x:v>detection / segmentation</x:v>
      </x:c>
      <x:c r="H56" s="15" t="str">
        <x:v>deformable convolution</x:v>
      </x:c>
      <x:c r="I56" s="15" t="str">
        <x:v>Offset-based sampling + convolution; high-value CUDA→SYCL benchmark</x:v>
      </x:c>
      <x:c r="J56" s="15" t="n">
        <x:v>5</x:v>
      </x:c>
      <x:c r="K56" s="15" t="n">
        <x:v>4</x:v>
      </x:c>
      <x:c r="L56" s="15" t="n">
        <x:v>5</x:v>
      </x:c>
      <x:c r="M56" s="15" t="str">
        <x:v>input, offset, weight -&gt; output feature map</x:v>
      </x:c>
      <x:c r="N56" s="15" t="str">
        <x:v>PyTorch grid_sample+conv reference or mmcv CPU/op</x:v>
      </x:c>
      <x:c r="O56" s="15" t="str">
        <x:v>Apache-2.0</x:v>
      </x:c>
      <x:c r="P56" s="15" t="str">
        <x:v>https://github.com/open-mmlab/mmcv/blob/main/LICENSE</x:v>
      </x:c>
      <x:c r="Q56" s="15" t="str">
        <x:v>MMCV has special-license exceptions; this row avoids the NVIDIA-license exceptions listed in LICENSES.md unless later file-level review says otherwise.</x:v>
      </x:c>
      <x:c r="R56" s="15" t="str">
        <x:v>Medium-High</x:v>
      </x:c>
      <x:c r="S56" s="15" t="n">
        <x:f>ROUND(0.45*J56+0.25*K56+0.2*L56+0.1*IF(OR(O56="Apache-2.0",O56="BSD-3-Clause",LEFT(O56,3)="BSD"),5,3),2)</x:f>
        <x:v>4.75</x:v>
      </x:c>
    </x:row>
    <x:row r="57" ht="54" customHeight="1">
      <x:c r="A57" s="15" t="str">
        <x:v>K056</x:v>
      </x:c>
      <x:c r="B57" s="15" t="str">
        <x:v>open-mmlab/mmcv</x:v>
      </x:c>
      <x:c r="C57" s="15" t="str">
        <x:v>https://github.com/open-mmlab/mmcv</x:v>
      </x:c>
      <x:c r="D57" s="15" t="str">
        <x:v>https://github.com/open-mmlab/mmcv/blob/main/mmcv/ops/csrc/pytorch/cuda/deform_roi_pool_cuda.cu</x:v>
      </x:c>
      <x:c r="E57" s="15" t="str">
        <x:v>mmcv/ops/csrc/pytorch/cuda/deform_roi_pool_cuda.cu</x:v>
      </x:c>
      <x:c r="F57" s="15" t="str">
        <x:v>DeformRoIPool</x:v>
      </x:c>
      <x:c r="G57" s="15" t="str">
        <x:v>object detection</x:v>
      </x:c>
      <x:c r="H57" s="15" t="str">
        <x:v>ROI pooling</x:v>
      </x:c>
      <x:c r="I57" s="15" t="str">
        <x:v>ROI pooling with learned offsets; bilinear sampling</x:v>
      </x:c>
      <x:c r="J57" s="15" t="n">
        <x:v>5</x:v>
      </x:c>
      <x:c r="K57" s="15" t="n">
        <x:v>4</x:v>
      </x:c>
      <x:c r="L57" s="15" t="n">
        <x:v>5</x:v>
      </x:c>
      <x:c r="M57" s="15" t="str">
        <x:v>feature map + ROIs + offsets -&gt; pooled features</x:v>
      </x:c>
      <x:c r="N57" s="15" t="str">
        <x:v>CPU/PyTorch bilinear reference</x:v>
      </x:c>
      <x:c r="O57" s="15" t="str">
        <x:v>Apache-2.0</x:v>
      </x:c>
      <x:c r="P57" s="15" t="str">
        <x:v>https://github.com/open-mmlab/mmcv/blob/main/LICENSE</x:v>
      </x:c>
      <x:c r="Q57" s="15" t="str">
        <x:v>MMCV has special-license exceptions; this row avoids the NVIDIA-license exceptions listed in LICENSES.md unless later file-level review says otherwise.</x:v>
      </x:c>
      <x:c r="R57" s="15" t="str">
        <x:v>Medium-High</x:v>
      </x:c>
      <x:c r="S57" s="15" t="n">
        <x:f>ROUND(0.45*J57+0.25*K57+0.2*L57+0.1*IF(OR(O57="Apache-2.0",O57="BSD-3-Clause",LEFT(O57,3)="BSD"),5,3),2)</x:f>
        <x:v>4.75</x:v>
      </x:c>
    </x:row>
    <x:row r="58" ht="54" customHeight="1">
      <x:c r="A58" s="15" t="str">
        <x:v>K057</x:v>
      </x:c>
      <x:c r="B58" s="15" t="str">
        <x:v>open-mmlab/mmcv</x:v>
      </x:c>
      <x:c r="C58" s="15" t="str">
        <x:v>https://github.com/open-mmlab/mmcv</x:v>
      </x:c>
      <x:c r="D58" s="15" t="str">
        <x:v>https://github.com/open-mmlab/mmcv/blob/main/mmcv/ops/csrc/pytorch/cuda/diff_iou_rotated_sort_vertices_cuda.cu</x:v>
      </x:c>
      <x:c r="E58" s="15" t="str">
        <x:v>mmcv/ops/csrc/pytorch/cuda/diff_iou_rotated_sort_vertices_cuda.cu</x:v>
      </x:c>
      <x:c r="F58" s="15" t="str">
        <x:v>DiffIoURotatedSortVertices</x:v>
      </x:c>
      <x:c r="G58" s="15" t="str">
        <x:v>rotated detection</x:v>
      </x:c>
      <x:c r="H58" s="15" t="str">
        <x:v>geometry/sort</x:v>
      </x:c>
      <x:c r="I58" s="15" t="str">
        <x:v>Differentiable rotated IoU vertex sorting; hard geometry/control flow</x:v>
      </x:c>
      <x:c r="J58" s="15" t="n">
        <x:v>5</x:v>
      </x:c>
      <x:c r="K58" s="15" t="n">
        <x:v>3</x:v>
      </x:c>
      <x:c r="L58" s="15" t="n">
        <x:v>3</x:v>
      </x:c>
      <x:c r="M58" s="15" t="str">
        <x:v>rotated boxes -&gt; sorted vertices/intersection geometry</x:v>
      </x:c>
      <x:c r="N58" s="15" t="str">
        <x:v>CPU polygon sort/intersection reference</x:v>
      </x:c>
      <x:c r="O58" s="15" t="str">
        <x:v>Apache-2.0</x:v>
      </x:c>
      <x:c r="P58" s="15" t="str">
        <x:v>https://github.com/open-mmlab/mmcv/blob/main/LICENSE</x:v>
      </x:c>
      <x:c r="Q58" s="15" t="str">
        <x:v>MMCV has special-license exceptions; this row avoids the NVIDIA-license exceptions listed in LICENSES.md unless later file-level review says otherwise.</x:v>
      </x:c>
      <x:c r="R58" s="15" t="str">
        <x:v>Medium-High</x:v>
      </x:c>
      <x:c r="S58" s="15" t="n">
        <x:f>ROUND(0.45*J58+0.25*K58+0.2*L58+0.1*IF(OR(O58="Apache-2.0",O58="BSD-3-Clause",LEFT(O58,3)="BSD"),5,3),2)</x:f>
        <x:v>4.1</x:v>
      </x:c>
    </x:row>
    <x:row r="59" ht="54" customHeight="1">
      <x:c r="A59" s="15" t="str">
        <x:v>K058</x:v>
      </x:c>
      <x:c r="B59" s="15" t="str">
        <x:v>open-mmlab/mmcv</x:v>
      </x:c>
      <x:c r="C59" s="15" t="str">
        <x:v>https://github.com/open-mmlab/mmcv</x:v>
      </x:c>
      <x:c r="D59" s="15" t="str">
        <x:v>https://github.com/open-mmlab/mmcv/blob/main/mmcv/ops/csrc/pytorch/cuda/furthest_point_sample_cuda.cu</x:v>
      </x:c>
      <x:c r="E59" s="15" t="str">
        <x:v>mmcv/ops/csrc/pytorch/cuda/furthest_point_sample_cuda.cu</x:v>
      </x:c>
      <x:c r="F59" s="15" t="str">
        <x:v>FurthestPointSample</x:v>
      </x:c>
      <x:c r="G59" s="15" t="str">
        <x:v>3D vision</x:v>
      </x:c>
      <x:c r="H59" s="15" t="str">
        <x:v>point sampling</x:v>
      </x:c>
      <x:c r="I59" s="15" t="str">
        <x:v>Iterative farthest point sampling; reductions + state</x:v>
      </x:c>
      <x:c r="J59" s="15" t="n">
        <x:v>5</x:v>
      </x:c>
      <x:c r="K59" s="15" t="n">
        <x:v>4</x:v>
      </x:c>
      <x:c r="L59" s="15" t="n">
        <x:v>5</x:v>
      </x:c>
      <x:c r="M59" s="15" t="str">
        <x:v>point cloud + sample count -&gt; sampled indices</x:v>
      </x:c>
      <x:c r="N59" s="15" t="str">
        <x:v>CPU FPS reference</x:v>
      </x:c>
      <x:c r="O59" s="15" t="str">
        <x:v>Apache-2.0</x:v>
      </x:c>
      <x:c r="P59" s="15" t="str">
        <x:v>https://github.com/open-mmlab/mmcv/blob/main/LICENSE</x:v>
      </x:c>
      <x:c r="Q59" s="15" t="str">
        <x:v>MMCV has special-license exceptions; this row avoids the NVIDIA-license exceptions listed in LICENSES.md unless later file-level review says otherwise.</x:v>
      </x:c>
      <x:c r="R59" s="15" t="str">
        <x:v>Medium-High</x:v>
      </x:c>
      <x:c r="S59" s="15" t="n">
        <x:f>ROUND(0.45*J59+0.25*K59+0.2*L59+0.1*IF(OR(O59="Apache-2.0",O59="BSD-3-Clause",LEFT(O59,3)="BSD"),5,3),2)</x:f>
        <x:v>4.75</x:v>
      </x:c>
    </x:row>
    <x:row r="60" ht="54" customHeight="1">
      <x:c r="A60" s="15" t="str">
        <x:v>K059</x:v>
      </x:c>
      <x:c r="B60" s="15" t="str">
        <x:v>open-mmlab/mmcv</x:v>
      </x:c>
      <x:c r="C60" s="15" t="str">
        <x:v>https://github.com/open-mmlab/mmcv</x:v>
      </x:c>
      <x:c r="D60" s="15" t="str">
        <x:v>https://github.com/open-mmlab/mmcv/blob/main/mmcv/ops/csrc/pytorch/cuda/gather_points_cuda.cu</x:v>
      </x:c>
      <x:c r="E60" s="15" t="str">
        <x:v>mmcv/ops/csrc/pytorch/cuda/gather_points_cuda.cu</x:v>
      </x:c>
      <x:c r="F60" s="15" t="str">
        <x:v>GatherPoints</x:v>
      </x:c>
      <x:c r="G60" s="15" t="str">
        <x:v>3D vision</x:v>
      </x:c>
      <x:c r="H60" s="15" t="str">
        <x:v>gather/scatter</x:v>
      </x:c>
      <x:c r="I60" s="15" t="str">
        <x:v>Irregular gather over point features; easy IO</x:v>
      </x:c>
      <x:c r="J60" s="15" t="n">
        <x:v>3</x:v>
      </x:c>
      <x:c r="K60" s="15" t="n">
        <x:v>5</x:v>
      </x:c>
      <x:c r="L60" s="15" t="n">
        <x:v>5</x:v>
      </x:c>
      <x:c r="M60" s="15" t="str">
        <x:v>features + indices -&gt; gathered features</x:v>
      </x:c>
      <x:c r="N60" s="15" t="str">
        <x:v>PyTorch gather reference</x:v>
      </x:c>
      <x:c r="O60" s="15" t="str">
        <x:v>Apache-2.0</x:v>
      </x:c>
      <x:c r="P60" s="15" t="str">
        <x:v>https://github.com/open-mmlab/mmcv/blob/main/LICENSE</x:v>
      </x:c>
      <x:c r="Q60" s="15" t="str">
        <x:v>MMCV has special-license exceptions; this row avoids the NVIDIA-license exceptions listed in LICENSES.md unless later file-level review says otherwise.</x:v>
      </x:c>
      <x:c r="R60" s="15" t="str">
        <x:v>Medium-High</x:v>
      </x:c>
      <x:c r="S60" s="15" t="n">
        <x:f>ROUND(0.45*J60+0.25*K60+0.2*L60+0.1*IF(OR(O60="Apache-2.0",O60="BSD-3-Clause",LEFT(O60,3)="BSD"),5,3),2)</x:f>
        <x:v>4.1</x:v>
      </x:c>
    </x:row>
    <x:row r="61" ht="54" customHeight="1">
      <x:c r="A61" s="15" t="str">
        <x:v>K060</x:v>
      </x:c>
      <x:c r="B61" s="15" t="str">
        <x:v>open-mmlab/mmcv</x:v>
      </x:c>
      <x:c r="C61" s="15" t="str">
        <x:v>https://github.com/open-mmlab/mmcv</x:v>
      </x:c>
      <x:c r="D61" s="15" t="str">
        <x:v>https://github.com/open-mmlab/mmcv/blob/main/mmcv/ops/csrc/pytorch/cuda/group_points_cuda.cu</x:v>
      </x:c>
      <x:c r="E61" s="15" t="str">
        <x:v>mmcv/ops/csrc/pytorch/cuda/group_points_cuda.cu</x:v>
      </x:c>
      <x:c r="F61" s="15" t="str">
        <x:v>GroupPoints</x:v>
      </x:c>
      <x:c r="G61" s="15" t="str">
        <x:v>3D vision</x:v>
      </x:c>
      <x:c r="H61" s="15" t="str">
        <x:v>gather/scatter</x:v>
      </x:c>
      <x:c r="I61" s="15" t="str">
        <x:v>Grouped neighborhood features; irregular memory layout</x:v>
      </x:c>
      <x:c r="J61" s="15" t="n">
        <x:v>3</x:v>
      </x:c>
      <x:c r="K61" s="15" t="n">
        <x:v>5</x:v>
      </x:c>
      <x:c r="L61" s="15" t="n">
        <x:v>5</x:v>
      </x:c>
      <x:c r="M61" s="15" t="str">
        <x:v>features + group indices -&gt; grouped features</x:v>
      </x:c>
      <x:c r="N61" s="15" t="str">
        <x:v>PyTorch indexing reference</x:v>
      </x:c>
      <x:c r="O61" s="15" t="str">
        <x:v>Apache-2.0</x:v>
      </x:c>
      <x:c r="P61" s="15" t="str">
        <x:v>https://github.com/open-mmlab/mmcv/blob/main/LICENSE</x:v>
      </x:c>
      <x:c r="Q61" s="15" t="str">
        <x:v>MMCV has special-license exceptions; this row avoids the NVIDIA-license exceptions listed in LICENSES.md unless later file-level review says otherwise.</x:v>
      </x:c>
      <x:c r="R61" s="15" t="str">
        <x:v>Medium-High</x:v>
      </x:c>
      <x:c r="S61" s="15" t="n">
        <x:f>ROUND(0.45*J61+0.25*K61+0.2*L61+0.1*IF(OR(O61="Apache-2.0",O61="BSD-3-Clause",LEFT(O61,3)="BSD"),5,3),2)</x:f>
        <x:v>4.1</x:v>
      </x:c>
    </x:row>
    <x:row r="62" ht="54" customHeight="1">
      <x:c r="A62" s="15" t="str">
        <x:v>K061</x:v>
      </x:c>
      <x:c r="B62" s="15" t="str">
        <x:v>open-mmlab/mmcv</x:v>
      </x:c>
      <x:c r="C62" s="15" t="str">
        <x:v>https://github.com/open-mmlab/mmcv</x:v>
      </x:c>
      <x:c r="D62" s="15" t="str">
        <x:v>https://github.com/open-mmlab/mmcv/blob/main/mmcv/ops/csrc/pytorch/cuda/knn_cuda.cu</x:v>
      </x:c>
      <x:c r="E62" s="15" t="str">
        <x:v>mmcv/ops/csrc/pytorch/cuda/knn_cuda.cu</x:v>
      </x:c>
      <x:c r="F62" s="15" t="str">
        <x:v>KNN</x:v>
      </x:c>
      <x:c r="G62" s="15" t="str">
        <x:v>3D vision</x:v>
      </x:c>
      <x:c r="H62" s="15" t="str">
        <x:v>nearest neighbor</x:v>
      </x:c>
      <x:c r="I62" s="15" t="str">
        <x:v>Distance matrix + top-k; reduction/sort complexity</x:v>
      </x:c>
      <x:c r="J62" s="15" t="n">
        <x:v>5</x:v>
      </x:c>
      <x:c r="K62" s="15" t="n">
        <x:v>4</x:v>
      </x:c>
      <x:c r="L62" s="15" t="n">
        <x:v>5</x:v>
      </x:c>
      <x:c r="M62" s="15" t="str">
        <x:v>query/reference point sets + k -&gt; nearest indices/distances</x:v>
      </x:c>
      <x:c r="N62" s="15" t="str">
        <x:v>PyTorch cdist/topk reference</x:v>
      </x:c>
      <x:c r="O62" s="15" t="str">
        <x:v>Apache-2.0</x:v>
      </x:c>
      <x:c r="P62" s="15" t="str">
        <x:v>https://github.com/open-mmlab/mmcv/blob/main/LICENSE</x:v>
      </x:c>
      <x:c r="Q62" s="15" t="str">
        <x:v>MMCV has special-license exceptions; this row avoids the NVIDIA-license exceptions listed in LICENSES.md unless later file-level review says otherwise.</x:v>
      </x:c>
      <x:c r="R62" s="15" t="str">
        <x:v>Medium-High</x:v>
      </x:c>
      <x:c r="S62" s="15" t="n">
        <x:f>ROUND(0.45*J62+0.25*K62+0.2*L62+0.1*IF(OR(O62="Apache-2.0",O62="BSD-3-Clause",LEFT(O62,3)="BSD"),5,3),2)</x:f>
        <x:v>4.75</x:v>
      </x:c>
    </x:row>
    <x:row r="63" ht="54" customHeight="1">
      <x:c r="A63" s="15" t="str">
        <x:v>K062</x:v>
      </x:c>
      <x:c r="B63" s="15" t="str">
        <x:v>open-mmlab/mmcv</x:v>
      </x:c>
      <x:c r="C63" s="15" t="str">
        <x:v>https://github.com/open-mmlab/mmcv</x:v>
      </x:c>
      <x:c r="D63" s="15" t="str">
        <x:v>https://github.com/open-mmlab/mmcv/blob/main/mmcv/ops/csrc/pytorch/cuda/masked_conv2d_cuda.cu</x:v>
      </x:c>
      <x:c r="E63" s="15" t="str">
        <x:v>mmcv/ops/csrc/pytorch/cuda/masked_conv2d_cuda.cu</x:v>
      </x:c>
      <x:c r="F63" s="15" t="str">
        <x:v>MaskedConv2D</x:v>
      </x:c>
      <x:c r="G63" s="15" t="str">
        <x:v>detection / segmentation</x:v>
      </x:c>
      <x:c r="H63" s="15" t="str">
        <x:v>sparse/masked convolution</x:v>
      </x:c>
      <x:c r="I63" s="15" t="str">
        <x:v>Convolution only on active mask positions; sparse indexing</x:v>
      </x:c>
      <x:c r="J63" s="15" t="n">
        <x:v>5</x:v>
      </x:c>
      <x:c r="K63" s="15" t="n">
        <x:v>4</x:v>
      </x:c>
      <x:c r="L63" s="15" t="n">
        <x:v>4</x:v>
      </x:c>
      <x:c r="M63" s="15" t="str">
        <x:v>image/features + mask + filters -&gt; sparse conv output</x:v>
      </x:c>
      <x:c r="N63" s="15" t="str">
        <x:v>PyTorch conv at active positions reference</x:v>
      </x:c>
      <x:c r="O63" s="15" t="str">
        <x:v>Apache-2.0</x:v>
      </x:c>
      <x:c r="P63" s="15" t="str">
        <x:v>https://github.com/open-mmlab/mmcv/blob/main/LICENSE</x:v>
      </x:c>
      <x:c r="Q63" s="15" t="str">
        <x:v>MMCV has special-license exceptions; this row avoids the NVIDIA-license exceptions listed in LICENSES.md unless later file-level review says otherwise.</x:v>
      </x:c>
      <x:c r="R63" s="15" t="str">
        <x:v>Medium-High</x:v>
      </x:c>
      <x:c r="S63" s="15" t="n">
        <x:f>ROUND(0.45*J63+0.25*K63+0.2*L63+0.1*IF(OR(O63="Apache-2.0",O63="BSD-3-Clause",LEFT(O63,3)="BSD"),5,3),2)</x:f>
        <x:v>4.55</x:v>
      </x:c>
    </x:row>
    <x:row r="64" ht="54" customHeight="1">
      <x:c r="A64" s="15" t="str">
        <x:v>K063</x:v>
      </x:c>
      <x:c r="B64" s="15" t="str">
        <x:v>open-mmlab/mmcv</x:v>
      </x:c>
      <x:c r="C64" s="15" t="str">
        <x:v>https://github.com/open-mmlab/mmcv</x:v>
      </x:c>
      <x:c r="D64" s="15" t="str">
        <x:v>https://github.com/open-mmlab/mmcv/blob/main/mmcv/ops/csrc/pytorch/cuda/min_area_polygons_cuda.cu</x:v>
      </x:c>
      <x:c r="E64" s="15" t="str">
        <x:v>mmcv/ops/csrc/pytorch/cuda/min_area_polygons_cuda.cu</x:v>
      </x:c>
      <x:c r="F64" s="15" t="str">
        <x:v>MinAreaPolygons</x:v>
      </x:c>
      <x:c r="G64" s="15" t="str">
        <x:v>geometry vision</x:v>
      </x:c>
      <x:c r="H64" s="15" t="str">
        <x:v>polygon geometry</x:v>
      </x:c>
      <x:c r="I64" s="15" t="str">
        <x:v>Minimum-area rectangle/polygon; geometry + reductions</x:v>
      </x:c>
      <x:c r="J64" s="15" t="n">
        <x:v>5</x:v>
      </x:c>
      <x:c r="K64" s="15" t="n">
        <x:v>3</x:v>
      </x:c>
      <x:c r="L64" s="15" t="n">
        <x:v>3</x:v>
      </x:c>
      <x:c r="M64" s="15" t="str">
        <x:v>polygons/points -&gt; min-area boxes</x:v>
      </x:c>
      <x:c r="N64" s="15" t="str">
        <x:v>OpenCV minAreaRect CPU reference</x:v>
      </x:c>
      <x:c r="O64" s="15" t="str">
        <x:v>Apache-2.0</x:v>
      </x:c>
      <x:c r="P64" s="15" t="str">
        <x:v>https://github.com/open-mmlab/mmcv/blob/main/LICENSE</x:v>
      </x:c>
      <x:c r="Q64" s="15" t="str">
        <x:v>MMCV has special-license exceptions; this row avoids the NVIDIA-license exceptions listed in LICENSES.md unless later file-level review says otherwise.</x:v>
      </x:c>
      <x:c r="R64" s="15" t="str">
        <x:v>Medium-High</x:v>
      </x:c>
      <x:c r="S64" s="15" t="n">
        <x:f>ROUND(0.45*J64+0.25*K64+0.2*L64+0.1*IF(OR(O64="Apache-2.0",O64="BSD-3-Clause",LEFT(O64,3)="BSD"),5,3),2)</x:f>
        <x:v>4.1</x:v>
      </x:c>
    </x:row>
    <x:row r="65" ht="54" customHeight="1">
      <x:c r="A65" s="15" t="str">
        <x:v>K064</x:v>
      </x:c>
      <x:c r="B65" s="15" t="str">
        <x:v>open-mmlab/mmcv</x:v>
      </x:c>
      <x:c r="C65" s="15" t="str">
        <x:v>https://github.com/open-mmlab/mmcv</x:v>
      </x:c>
      <x:c r="D65" s="15" t="str">
        <x:v>https://github.com/open-mmlab/mmcv/blob/main/mmcv/ops/csrc/pytorch/cuda/modulated_deform_conv_cuda.cu</x:v>
      </x:c>
      <x:c r="E65" s="15" t="str">
        <x:v>mmcv/ops/csrc/pytorch/cuda/modulated_deform_conv_cuda.cu</x:v>
      </x:c>
      <x:c r="F65" s="15" t="str">
        <x:v>ModulatedDeformConv</x:v>
      </x:c>
      <x:c r="G65" s="15" t="str">
        <x:v>detection / segmentation</x:v>
      </x:c>
      <x:c r="H65" s="15" t="str">
        <x:v>deformable convolution</x:v>
      </x:c>
      <x:c r="I65" s="15" t="str">
        <x:v>Deformable convolution with modulation mask; very discriminative</x:v>
      </x:c>
      <x:c r="J65" s="15" t="n">
        <x:v>5</x:v>
      </x:c>
      <x:c r="K65" s="15" t="n">
        <x:v>4</x:v>
      </x:c>
      <x:c r="L65" s="15" t="n">
        <x:v>5</x:v>
      </x:c>
      <x:c r="M65" s="15" t="str">
        <x:v>input, offset, mask, weight -&gt; output</x:v>
      </x:c>
      <x:c r="N65" s="15" t="str">
        <x:v>PyTorch composed reference/mmcv comparison</x:v>
      </x:c>
      <x:c r="O65" s="15" t="str">
        <x:v>Apache-2.0</x:v>
      </x:c>
      <x:c r="P65" s="15" t="str">
        <x:v>https://github.com/open-mmlab/mmcv/blob/main/LICENSE</x:v>
      </x:c>
      <x:c r="Q65" s="15" t="str">
        <x:v>MMCV has special-license exceptions; this row avoids the NVIDIA-license exceptions listed in LICENSES.md unless later file-level review says otherwise.</x:v>
      </x:c>
      <x:c r="R65" s="15" t="str">
        <x:v>Medium-High</x:v>
      </x:c>
      <x:c r="S65" s="15" t="n">
        <x:f>ROUND(0.45*J65+0.25*K65+0.2*L65+0.1*IF(OR(O65="Apache-2.0",O65="BSD-3-Clause",LEFT(O65,3)="BSD"),5,3),2)</x:f>
        <x:v>4.75</x:v>
      </x:c>
    </x:row>
    <x:row r="66" ht="54" customHeight="1">
      <x:c r="A66" s="15" t="str">
        <x:v>K065</x:v>
      </x:c>
      <x:c r="B66" s="15" t="str">
        <x:v>open-mmlab/mmcv</x:v>
      </x:c>
      <x:c r="C66" s="15" t="str">
        <x:v>https://github.com/open-mmlab/mmcv</x:v>
      </x:c>
      <x:c r="D66" s="15" t="str">
        <x:v>https://github.com/open-mmlab/mmcv/blob/main/mmcv/ops/csrc/pytorch/cuda/ms_deform_attn_cuda.cu</x:v>
      </x:c>
      <x:c r="E66" s="15" t="str">
        <x:v>mmcv/ops/csrc/pytorch/cuda/ms_deform_attn_cuda.cu</x:v>
      </x:c>
      <x:c r="F66" s="15" t="str">
        <x:v>MSDeformAttn</x:v>
      </x:c>
      <x:c r="G66" s="15" t="str">
        <x:v>transformer vision</x:v>
      </x:c>
      <x:c r="H66" s="15" t="str">
        <x:v>deformable attention</x:v>
      </x:c>
      <x:c r="I66" s="15" t="str">
        <x:v>Multi-scale deformable attention; modern vision transformer op</x:v>
      </x:c>
      <x:c r="J66" s="15" t="n">
        <x:v>5</x:v>
      </x:c>
      <x:c r="K66" s="15" t="n">
        <x:v>3</x:v>
      </x:c>
      <x:c r="L66" s="15" t="n">
        <x:v>4</x:v>
      </x:c>
      <x:c r="M66" s="15" t="str">
        <x:v>multi-scale features + sampling locs + weights -&gt; attended features</x:v>
      </x:c>
      <x:c r="N66" s="15" t="str">
        <x:v>PyTorch reference implementation in Deformable DETR style</x:v>
      </x:c>
      <x:c r="O66" s="15" t="str">
        <x:v>Apache-2.0</x:v>
      </x:c>
      <x:c r="P66" s="15" t="str">
        <x:v>https://github.com/open-mmlab/mmcv/blob/main/LICENSE</x:v>
      </x:c>
      <x:c r="Q66" s="15" t="str">
        <x:v>MMCV has special-license exceptions; this row avoids the NVIDIA-license exceptions listed in LICENSES.md unless later file-level review says otherwise.</x:v>
      </x:c>
      <x:c r="R66" s="15" t="str">
        <x:v>Medium-High</x:v>
      </x:c>
      <x:c r="S66" s="15" t="n">
        <x:f>ROUND(0.45*J66+0.25*K66+0.2*L66+0.1*IF(OR(O66="Apache-2.0",O66="BSD-3-Clause",LEFT(O66,3)="BSD"),5,3),2)</x:f>
        <x:v>4.3</x:v>
      </x:c>
    </x:row>
    <x:row r="67" ht="54" customHeight="1">
      <x:c r="A67" s="15" t="str">
        <x:v>K066</x:v>
      </x:c>
      <x:c r="B67" s="15" t="str">
        <x:v>open-mmlab/mmcv</x:v>
      </x:c>
      <x:c r="C67" s="15" t="str">
        <x:v>https://github.com/open-mmlab/mmcv</x:v>
      </x:c>
      <x:c r="D67" s="15" t="str">
        <x:v>https://github.com/open-mmlab/mmcv/blob/main/mmcv/ops/csrc/pytorch/cuda/nms_cuda.cu</x:v>
      </x:c>
      <x:c r="E67" s="15" t="str">
        <x:v>mmcv/ops/csrc/pytorch/cuda/nms_cuda.cu</x:v>
      </x:c>
      <x:c r="F67" s="15" t="str">
        <x:v>NMS</x:v>
      </x:c>
      <x:c r="G67" s="15" t="str">
        <x:v>object detection</x:v>
      </x:c>
      <x:c r="H67" s="15" t="str">
        <x:v>postprocessing</x:v>
      </x:c>
      <x:c r="I67" s="15" t="str">
        <x:v>Bitmask/block suppression; simple IO, tricky bit operations</x:v>
      </x:c>
      <x:c r="J67" s="15" t="n">
        <x:v>4</x:v>
      </x:c>
      <x:c r="K67" s="15" t="n">
        <x:v>5</x:v>
      </x:c>
      <x:c r="L67" s="15" t="n">
        <x:v>5</x:v>
      </x:c>
      <x:c r="M67" s="15" t="str">
        <x:v>boxes + scores + threshold -&gt; kept indices</x:v>
      </x:c>
      <x:c r="N67" s="15" t="str">
        <x:v>Python NMS reference</x:v>
      </x:c>
      <x:c r="O67" s="15" t="str">
        <x:v>Apache-2.0</x:v>
      </x:c>
      <x:c r="P67" s="15" t="str">
        <x:v>https://github.com/open-mmlab/mmcv/blob/main/LICENSE</x:v>
      </x:c>
      <x:c r="Q67" s="15" t="str">
        <x:v>MMCV has special-license exceptions; this row avoids the NVIDIA-license exceptions listed in LICENSES.md unless later file-level review says otherwise.</x:v>
      </x:c>
      <x:c r="R67" s="15" t="str">
        <x:v>Medium-High</x:v>
      </x:c>
      <x:c r="S67" s="15" t="n">
        <x:f>ROUND(0.45*J67+0.25*K67+0.2*L67+0.1*IF(OR(O67="Apache-2.0",O67="BSD-3-Clause",LEFT(O67,3)="BSD"),5,3),2)</x:f>
        <x:v>4.55</x:v>
      </x:c>
    </x:row>
    <x:row r="68" ht="54" customHeight="1">
      <x:c r="A68" s="15" t="str">
        <x:v>K067</x:v>
      </x:c>
      <x:c r="B68" s="15" t="str">
        <x:v>open-mmlab/mmcv</x:v>
      </x:c>
      <x:c r="C68" s="15" t="str">
        <x:v>https://github.com/open-mmlab/mmcv</x:v>
      </x:c>
      <x:c r="D68" s="15" t="str">
        <x:v>https://github.com/open-mmlab/mmcv/blob/main/mmcv/ops/csrc/pytorch/cuda/nms_rotated_cuda.cu</x:v>
      </x:c>
      <x:c r="E68" s="15" t="str">
        <x:v>mmcv/ops/csrc/pytorch/cuda/nms_rotated_cuda.cu</x:v>
      </x:c>
      <x:c r="F68" s="15" t="str">
        <x:v>NMSRotated</x:v>
      </x:c>
      <x:c r="G68" s="15" t="str">
        <x:v>rotated detection</x:v>
      </x:c>
      <x:c r="H68" s="15" t="str">
        <x:v>postprocessing</x:v>
      </x:c>
      <x:c r="I68" s="15" t="str">
        <x:v>NMS with rotated IoU; geometry + bitmask</x:v>
      </x:c>
      <x:c r="J68" s="15" t="n">
        <x:v>5</x:v>
      </x:c>
      <x:c r="K68" s="15" t="n">
        <x:v>4</x:v>
      </x:c>
      <x:c r="L68" s="15" t="n">
        <x:v>4</x:v>
      </x:c>
      <x:c r="M68" s="15" t="str">
        <x:v>rotated boxes + scores + threshold -&gt; kept indices</x:v>
      </x:c>
      <x:c r="N68" s="15" t="str">
        <x:v>CPU rotated NMS reference</x:v>
      </x:c>
      <x:c r="O68" s="15" t="str">
        <x:v>Apache-2.0</x:v>
      </x:c>
      <x:c r="P68" s="15" t="str">
        <x:v>https://github.com/open-mmlab/mmcv/blob/main/LICENSE</x:v>
      </x:c>
      <x:c r="Q68" s="15" t="str">
        <x:v>MMCV has special-license exceptions; this row avoids the NVIDIA-license exceptions listed in LICENSES.md unless later file-level review says otherwise.</x:v>
      </x:c>
      <x:c r="R68" s="15" t="str">
        <x:v>Medium-High</x:v>
      </x:c>
      <x:c r="S68" s="15" t="n">
        <x:f>ROUND(0.45*J68+0.25*K68+0.2*L68+0.1*IF(OR(O68="Apache-2.0",O68="BSD-3-Clause",LEFT(O68,3)="BSD"),5,3),2)</x:f>
        <x:v>4.55</x:v>
      </x:c>
    </x:row>
    <x:row r="69" ht="54" customHeight="1">
      <x:c r="A69" s="15" t="str">
        <x:v>K068</x:v>
      </x:c>
      <x:c r="B69" s="15" t="str">
        <x:v>open-mmlab/mmcv</x:v>
      </x:c>
      <x:c r="C69" s="15" t="str">
        <x:v>https://github.com/open-mmlab/mmcv</x:v>
      </x:c>
      <x:c r="D69" s="15" t="str">
        <x:v>https://github.com/open-mmlab/mmcv/blob/main/mmcv/ops/csrc/pytorch/cuda/pixel_group_cuda.cu</x:v>
      </x:c>
      <x:c r="E69" s="15" t="str">
        <x:v>mmcv/ops/csrc/pytorch/cuda/pixel_group_cuda.cu</x:v>
      </x:c>
      <x:c r="F69" s="15" t="str">
        <x:v>PixelGroup</x:v>
      </x:c>
      <x:c r="G69" s="15" t="str">
        <x:v>segmentation/OCR</x:v>
      </x:c>
      <x:c r="H69" s="15" t="str">
        <x:v>pixel grouping</x:v>
      </x:c>
      <x:c r="I69" s="15" t="str">
        <x:v>Connected components/grouping from text segmentation maps</x:v>
      </x:c>
      <x:c r="J69" s="15" t="n">
        <x:v>5</x:v>
      </x:c>
      <x:c r="K69" s="15" t="n">
        <x:v>3</x:v>
      </x:c>
      <x:c r="L69" s="15" t="n">
        <x:v>4</x:v>
      </x:c>
      <x:c r="M69" s="15" t="str">
        <x:v>score maps/link maps -&gt; grouped pixel components</x:v>
      </x:c>
      <x:c r="N69" s="15" t="str">
        <x:v>CPU BFS/union-find reference</x:v>
      </x:c>
      <x:c r="O69" s="15" t="str">
        <x:v>Apache-2.0</x:v>
      </x:c>
      <x:c r="P69" s="15" t="str">
        <x:v>https://github.com/open-mmlab/mmcv/blob/main/LICENSE</x:v>
      </x:c>
      <x:c r="Q69" s="15" t="str">
        <x:v>MMCV has special-license exceptions; this row avoids the NVIDIA-license exceptions listed in LICENSES.md unless later file-level review says otherwise.</x:v>
      </x:c>
      <x:c r="R69" s="15" t="str">
        <x:v>Medium-High</x:v>
      </x:c>
      <x:c r="S69" s="15" t="n">
        <x:f>ROUND(0.45*J69+0.25*K69+0.2*L69+0.1*IF(OR(O69="Apache-2.0",O69="BSD-3-Clause",LEFT(O69,3)="BSD"),5,3),2)</x:f>
        <x:v>4.3</x:v>
      </x:c>
    </x:row>
    <x:row r="70" ht="54" customHeight="1">
      <x:c r="A70" s="15" t="str">
        <x:v>K069</x:v>
      </x:c>
      <x:c r="B70" s="15" t="str">
        <x:v>open-mmlab/mmcv</x:v>
      </x:c>
      <x:c r="C70" s="15" t="str">
        <x:v>https://github.com/open-mmlab/mmcv</x:v>
      </x:c>
      <x:c r="D70" s="15" t="str">
        <x:v>https://github.com/open-mmlab/mmcv/blob/main/mmcv/ops/csrc/pytorch/cuda/points_in_boxes_cuda.cu</x:v>
      </x:c>
      <x:c r="E70" s="15" t="str">
        <x:v>mmcv/ops/csrc/pytorch/cuda/points_in_boxes_cuda.cu</x:v>
      </x:c>
      <x:c r="F70" s="15" t="str">
        <x:v>PointsInBoxes</x:v>
      </x:c>
      <x:c r="G70" s="15" t="str">
        <x:v>3D detection</x:v>
      </x:c>
      <x:c r="H70" s="15" t="str">
        <x:v>geometry query</x:v>
      </x:c>
      <x:c r="I70" s="15" t="str">
        <x:v>Point-in-rotated-box tests; branchy geometry</x:v>
      </x:c>
      <x:c r="J70" s="15" t="n">
        <x:v>4</x:v>
      </x:c>
      <x:c r="K70" s="15" t="n">
        <x:v>5</x:v>
      </x:c>
      <x:c r="L70" s="15" t="n">
        <x:v>5</x:v>
      </x:c>
      <x:c r="M70" s="15" t="str">
        <x:v>3D points + boxes -&gt; inside flags/indices</x:v>
      </x:c>
      <x:c r="N70" s="15" t="str">
        <x:v>CPU point-in-box reference</x:v>
      </x:c>
      <x:c r="O70" s="15" t="str">
        <x:v>Apache-2.0</x:v>
      </x:c>
      <x:c r="P70" s="15" t="str">
        <x:v>https://github.com/open-mmlab/mmcv/blob/main/LICENSE</x:v>
      </x:c>
      <x:c r="Q70" s="15" t="str">
        <x:v>MMCV has special-license exceptions; this row avoids the NVIDIA-license exceptions listed in LICENSES.md unless later file-level review says otherwise.</x:v>
      </x:c>
      <x:c r="R70" s="15" t="str">
        <x:v>Medium-High</x:v>
      </x:c>
      <x:c r="S70" s="15" t="n">
        <x:f>ROUND(0.45*J70+0.25*K70+0.2*L70+0.1*IF(OR(O70="Apache-2.0",O70="BSD-3-Clause",LEFT(O70,3)="BSD"),5,3),2)</x:f>
        <x:v>4.55</x:v>
      </x:c>
    </x:row>
    <x:row r="71" ht="54" customHeight="1">
      <x:c r="A71" s="15" t="str">
        <x:v>K070</x:v>
      </x:c>
      <x:c r="B71" s="15" t="str">
        <x:v>open-mmlab/mmcv</x:v>
      </x:c>
      <x:c r="C71" s="15" t="str">
        <x:v>https://github.com/open-mmlab/mmcv</x:v>
      </x:c>
      <x:c r="D71" s="15" t="str">
        <x:v>https://github.com/open-mmlab/mmcv/blob/main/mmcv/ops/csrc/pytorch/cuda/roi_align_cuda.cu</x:v>
      </x:c>
      <x:c r="E71" s="15" t="str">
        <x:v>mmcv/ops/csrc/pytorch/cuda/roi_align_cuda.cu</x:v>
      </x:c>
      <x:c r="F71" s="15" t="str">
        <x:v>ROIAlign</x:v>
      </x:c>
      <x:c r="G71" s="15" t="str">
        <x:v>object detection</x:v>
      </x:c>
      <x:c r="H71" s="15" t="str">
        <x:v>ROI feature sampling</x:v>
      </x:c>
      <x:c r="I71" s="15" t="str">
        <x:v>Bilinear sampling + pooling; canonical ML kernel</x:v>
      </x:c>
      <x:c r="J71" s="15" t="n">
        <x:v>4</x:v>
      </x:c>
      <x:c r="K71" s="15" t="n">
        <x:v>5</x:v>
      </x:c>
      <x:c r="L71" s="15" t="n">
        <x:v>5</x:v>
      </x:c>
      <x:c r="M71" s="15" t="str">
        <x:v>feature map + ROIs -&gt; pooled features</x:v>
      </x:c>
      <x:c r="N71" s="15" t="str">
        <x:v>torchvision/PyTorch ROIAlign or CPU bilinear reference</x:v>
      </x:c>
      <x:c r="O71" s="15" t="str">
        <x:v>Apache-2.0</x:v>
      </x:c>
      <x:c r="P71" s="15" t="str">
        <x:v>https://github.com/open-mmlab/mmcv/blob/main/LICENSE</x:v>
      </x:c>
      <x:c r="Q71" s="15" t="str">
        <x:v>MMCV has special-license exceptions; this row avoids the NVIDIA-license exceptions listed in LICENSES.md unless later file-level review says otherwise.</x:v>
      </x:c>
      <x:c r="R71" s="15" t="str">
        <x:v>Medium-High</x:v>
      </x:c>
      <x:c r="S71" s="15" t="n">
        <x:f>ROUND(0.45*J71+0.25*K71+0.2*L71+0.1*IF(OR(O71="Apache-2.0",O71="BSD-3-Clause",LEFT(O71,3)="BSD"),5,3),2)</x:f>
        <x:v>4.55</x:v>
      </x:c>
    </x:row>
    <x:row r="72" ht="54" customHeight="1">
      <x:c r="A72" s="15" t="str">
        <x:v>K071</x:v>
      </x:c>
      <x:c r="B72" s="15" t="str">
        <x:v>open-mmlab/mmcv</x:v>
      </x:c>
      <x:c r="C72" s="15" t="str">
        <x:v>https://github.com/open-mmlab/mmcv</x:v>
      </x:c>
      <x:c r="D72" s="15" t="str">
        <x:v>https://github.com/open-mmlab/mmcv/blob/main/mmcv/ops/csrc/pytorch/cuda/roi_pool_cuda.cu</x:v>
      </x:c>
      <x:c r="E72" s="15" t="str">
        <x:v>mmcv/ops/csrc/pytorch/cuda/roi_pool_cuda.cu</x:v>
      </x:c>
      <x:c r="F72" s="15" t="str">
        <x:v>ROIPool</x:v>
      </x:c>
      <x:c r="G72" s="15" t="str">
        <x:v>object detection</x:v>
      </x:c>
      <x:c r="H72" s="15" t="str">
        <x:v>ROI pooling</x:v>
      </x:c>
      <x:c r="I72" s="15" t="str">
        <x:v>Max pooling over variable ROIs; reductions and indexing</x:v>
      </x:c>
      <x:c r="J72" s="15" t="n">
        <x:v>4</x:v>
      </x:c>
      <x:c r="K72" s="15" t="n">
        <x:v>5</x:v>
      </x:c>
      <x:c r="L72" s="15" t="n">
        <x:v>5</x:v>
      </x:c>
      <x:c r="M72" s="15" t="str">
        <x:v>feature map + ROIs -&gt; pooled features + argmax</x:v>
      </x:c>
      <x:c r="N72" s="15" t="str">
        <x:v>CPU ROI pool reference</x:v>
      </x:c>
      <x:c r="O72" s="15" t="str">
        <x:v>Apache-2.0</x:v>
      </x:c>
      <x:c r="P72" s="15" t="str">
        <x:v>https://github.com/open-mmlab/mmcv/blob/main/LICENSE</x:v>
      </x:c>
      <x:c r="Q72" s="15" t="str">
        <x:v>MMCV has special-license exceptions; this row avoids the NVIDIA-license exceptions listed in LICENSES.md unless later file-level review says otherwise.</x:v>
      </x:c>
      <x:c r="R72" s="15" t="str">
        <x:v>Medium-High</x:v>
      </x:c>
      <x:c r="S72" s="15" t="n">
        <x:f>ROUND(0.45*J72+0.25*K72+0.2*L72+0.1*IF(OR(O72="Apache-2.0",O72="BSD-3-Clause",LEFT(O72,3)="BSD"),5,3),2)</x:f>
        <x:v>4.55</x:v>
      </x:c>
    </x:row>
    <x:row r="73" ht="54" customHeight="1">
      <x:c r="A73" s="15" t="str">
        <x:v>K072</x:v>
      </x:c>
      <x:c r="B73" s="15" t="str">
        <x:v>open-mmlab/mmcv</x:v>
      </x:c>
      <x:c r="C73" s="15" t="str">
        <x:v>https://github.com/open-mmlab/mmcv</x:v>
      </x:c>
      <x:c r="D73" s="15" t="str">
        <x:v>https://github.com/open-mmlab/mmcv/blob/main/mmcv/ops/csrc/pytorch/cuda/roiaware_pool3d_cuda.cu</x:v>
      </x:c>
      <x:c r="E73" s="15" t="str">
        <x:v>mmcv/ops/csrc/pytorch/cuda/roiaware_pool3d_cuda.cu</x:v>
      </x:c>
      <x:c r="F73" s="15" t="str">
        <x:v>RoIAwarePool3D</x:v>
      </x:c>
      <x:c r="G73" s="15" t="str">
        <x:v>3D detection</x:v>
      </x:c>
      <x:c r="H73" s="15" t="str">
        <x:v>3D ROI pooling</x:v>
      </x:c>
      <x:c r="I73" s="15" t="str">
        <x:v>Point/voxel pooling in 3D boxes; irregular reductions</x:v>
      </x:c>
      <x:c r="J73" s="15" t="n">
        <x:v>5</x:v>
      </x:c>
      <x:c r="K73" s="15" t="n">
        <x:v>3</x:v>
      </x:c>
      <x:c r="L73" s="15" t="n">
        <x:v>4</x:v>
      </x:c>
      <x:c r="M73" s="15" t="str">
        <x:v>points/features + 3D ROIs -&gt; pooled voxel features</x:v>
      </x:c>
      <x:c r="N73" s="15" t="str">
        <x:v>CPU point-bin pooling reference</x:v>
      </x:c>
      <x:c r="O73" s="15" t="str">
        <x:v>Apache-2.0</x:v>
      </x:c>
      <x:c r="P73" s="15" t="str">
        <x:v>https://github.com/open-mmlab/mmcv/blob/main/LICENSE</x:v>
      </x:c>
      <x:c r="Q73" s="15" t="str">
        <x:v>MMCV has special-license exceptions; this row avoids the NVIDIA-license exceptions listed in LICENSES.md unless later file-level review says otherwise.</x:v>
      </x:c>
      <x:c r="R73" s="15" t="str">
        <x:v>Medium-High</x:v>
      </x:c>
      <x:c r="S73" s="15" t="n">
        <x:f>ROUND(0.45*J73+0.25*K73+0.2*L73+0.1*IF(OR(O73="Apache-2.0",O73="BSD-3-Clause",LEFT(O73,3)="BSD"),5,3),2)</x:f>
        <x:v>4.3</x:v>
      </x:c>
    </x:row>
    <x:row r="74" ht="54" customHeight="1">
      <x:c r="A74" s="15" t="str">
        <x:v>K073</x:v>
      </x:c>
      <x:c r="B74" s="15" t="str">
        <x:v>open-mmlab/mmcv</x:v>
      </x:c>
      <x:c r="C74" s="15" t="str">
        <x:v>https://github.com/open-mmlab/mmcv</x:v>
      </x:c>
      <x:c r="D74" s="15" t="str">
        <x:v>https://github.com/open-mmlab/mmcv/blob/main/mmcv/ops/csrc/pytorch/cuda/roipoint_pool3d_cuda.cu</x:v>
      </x:c>
      <x:c r="E74" s="15" t="str">
        <x:v>mmcv/ops/csrc/pytorch/cuda/roipoint_pool3d_cuda.cu</x:v>
      </x:c>
      <x:c r="F74" s="15" t="str">
        <x:v>RoIPointPool3D</x:v>
      </x:c>
      <x:c r="G74" s="15" t="str">
        <x:v>3D detection</x:v>
      </x:c>
      <x:c r="H74" s="15" t="str">
        <x:v>3D ROI pooling</x:v>
      </x:c>
      <x:c r="I74" s="15" t="str">
        <x:v>Pools points inside 3D RoIs; branchy geometry</x:v>
      </x:c>
      <x:c r="J74" s="15" t="n">
        <x:v>5</x:v>
      </x:c>
      <x:c r="K74" s="15" t="n">
        <x:v>3</x:v>
      </x:c>
      <x:c r="L74" s="15" t="n">
        <x:v>4</x:v>
      </x:c>
      <x:c r="M74" s="15" t="str">
        <x:v>points/features + 3D ROIs -&gt; pooled points/features</x:v>
      </x:c>
      <x:c r="N74" s="15" t="str">
        <x:v>CPU ROI point query reference</x:v>
      </x:c>
      <x:c r="O74" s="15" t="str">
        <x:v>Apache-2.0</x:v>
      </x:c>
      <x:c r="P74" s="15" t="str">
        <x:v>https://github.com/open-mmlab/mmcv/blob/main/LICENSE</x:v>
      </x:c>
      <x:c r="Q74" s="15" t="str">
        <x:v>MMCV has special-license exceptions; this row avoids the NVIDIA-license exceptions listed in LICENSES.md unless later file-level review says otherwise.</x:v>
      </x:c>
      <x:c r="R74" s="15" t="str">
        <x:v>Medium-High</x:v>
      </x:c>
      <x:c r="S74" s="15" t="n">
        <x:f>ROUND(0.45*J74+0.25*K74+0.2*L74+0.1*IF(OR(O74="Apache-2.0",O74="BSD-3-Clause",LEFT(O74,3)="BSD"),5,3),2)</x:f>
        <x:v>4.3</x:v>
      </x:c>
    </x:row>
    <x:row r="75" ht="54" customHeight="1">
      <x:c r="A75" s="15" t="str">
        <x:v>K074</x:v>
      </x:c>
      <x:c r="B75" s="15" t="str">
        <x:v>open-mmlab/mmcv</x:v>
      </x:c>
      <x:c r="C75" s="15" t="str">
        <x:v>https://github.com/open-mmlab/mmcv</x:v>
      </x:c>
      <x:c r="D75" s="15" t="str">
        <x:v>https://github.com/open-mmlab/mmcv/blob/main/mmcv/ops/csrc/pytorch/cuda/rotated_feature_align_cuda.cu</x:v>
      </x:c>
      <x:c r="E75" s="15" t="str">
        <x:v>mmcv/ops/csrc/pytorch/cuda/rotated_feature_align_cuda.cu</x:v>
      </x:c>
      <x:c r="F75" s="15" t="str">
        <x:v>RotatedFeatureAlign</x:v>
      </x:c>
      <x:c r="G75" s="15" t="str">
        <x:v>rotated detection</x:v>
      </x:c>
      <x:c r="H75" s="15" t="str">
        <x:v>feature sampling</x:v>
      </x:c>
      <x:c r="I75" s="15" t="str">
        <x:v>Rotated box aligned feature sampling</x:v>
      </x:c>
      <x:c r="J75" s="15" t="n">
        <x:v>5</x:v>
      </x:c>
      <x:c r="K75" s="15" t="n">
        <x:v>4</x:v>
      </x:c>
      <x:c r="L75" s="15" t="n">
        <x:v>4</x:v>
      </x:c>
      <x:c r="M75" s="15" t="str">
        <x:v>feature map + rotated boxes -&gt; aligned features</x:v>
      </x:c>
      <x:c r="N75" s="15" t="str">
        <x:v>PyTorch grid_sample reference</x:v>
      </x:c>
      <x:c r="O75" s="15" t="str">
        <x:v>Apache-2.0</x:v>
      </x:c>
      <x:c r="P75" s="15" t="str">
        <x:v>https://github.com/open-mmlab/mmcv/blob/main/LICENSE</x:v>
      </x:c>
      <x:c r="Q75" s="15" t="str">
        <x:v>MMCV has special-license exceptions; this row avoids the NVIDIA-license exceptions listed in LICENSES.md unless later file-level review says otherwise.</x:v>
      </x:c>
      <x:c r="R75" s="15" t="str">
        <x:v>Medium-High</x:v>
      </x:c>
      <x:c r="S75" s="15" t="n">
        <x:f>ROUND(0.45*J75+0.25*K75+0.2*L75+0.1*IF(OR(O75="Apache-2.0",O75="BSD-3-Clause",LEFT(O75,3)="BSD"),5,3),2)</x:f>
        <x:v>4.55</x:v>
      </x:c>
    </x:row>
    <x:row r="76" ht="54" customHeight="1">
      <x:c r="A76" s="15" t="str">
        <x:v>K075</x:v>
      </x:c>
      <x:c r="B76" s="15" t="str">
        <x:v>open-mmlab/mmcv</x:v>
      </x:c>
      <x:c r="C76" s="15" t="str">
        <x:v>https://github.com/open-mmlab/mmcv</x:v>
      </x:c>
      <x:c r="D76" s="15" t="str">
        <x:v>https://github.com/open-mmlab/mmcv/blob/main/mmcv/ops/csrc/pytorch/cuda/scatter_points_cuda.cu</x:v>
      </x:c>
      <x:c r="E76" s="15" t="str">
        <x:v>mmcv/ops/csrc/pytorch/cuda/scatter_points_cuda.cu</x:v>
      </x:c>
      <x:c r="F76" s="15" t="str">
        <x:v>ScatterPoints</x:v>
      </x:c>
      <x:c r="G76" s="15" t="str">
        <x:v>3D vision</x:v>
      </x:c>
      <x:c r="H76" s="15" t="str">
        <x:v>scatter/reduction</x:v>
      </x:c>
      <x:c r="I76" s="15" t="str">
        <x:v>Scatter point features to voxels/pixels; atomics/reduction</x:v>
      </x:c>
      <x:c r="J76" s="15" t="n">
        <x:v>4</x:v>
      </x:c>
      <x:c r="K76" s="15" t="n">
        <x:v>4</x:v>
      </x:c>
      <x:c r="L76" s="15" t="n">
        <x:v>4</x:v>
      </x:c>
      <x:c r="M76" s="15" t="str">
        <x:v>points/features + target indices -&gt; scattered features</x:v>
      </x:c>
      <x:c r="N76" s="15" t="str">
        <x:v>PyTorch scatter_reduce reference</x:v>
      </x:c>
      <x:c r="O76" s="15" t="str">
        <x:v>Apache-2.0</x:v>
      </x:c>
      <x:c r="P76" s="15" t="str">
        <x:v>https://github.com/open-mmlab/mmcv/blob/main/LICENSE</x:v>
      </x:c>
      <x:c r="Q76" s="15" t="str">
        <x:v>MMCV has special-license exceptions; this row avoids the NVIDIA-license exceptions listed in LICENSES.md unless later file-level review says otherwise.</x:v>
      </x:c>
      <x:c r="R76" s="15" t="str">
        <x:v>Medium-High</x:v>
      </x:c>
      <x:c r="S76" s="15" t="n">
        <x:f>ROUND(0.45*J76+0.25*K76+0.2*L76+0.1*IF(OR(O76="Apache-2.0",O76="BSD-3-Clause",LEFT(O76,3)="BSD"),5,3),2)</x:f>
        <x:v>4.1</x:v>
      </x:c>
    </x:row>
    <x:row r="77" ht="54" customHeight="1">
      <x:c r="A77" s="15" t="str">
        <x:v>K076</x:v>
      </x:c>
      <x:c r="B77" s="15" t="str">
        <x:v>open-mmlab/mmcv</x:v>
      </x:c>
      <x:c r="C77" s="15" t="str">
        <x:v>https://github.com/open-mmlab/mmcv</x:v>
      </x:c>
      <x:c r="D77" s="15" t="str">
        <x:v>https://github.com/open-mmlab/mmcv/blob/main/mmcv/ops/csrc/pytorch/cuda/sigmoid_focal_loss_cuda.cu</x:v>
      </x:c>
      <x:c r="E77" s="15" t="str">
        <x:v>mmcv/ops/csrc/pytorch/cuda/sigmoid_focal_loss_cuda.cu</x:v>
      </x:c>
      <x:c r="F77" s="15" t="str">
        <x:v>SigmoidFocalLoss</x:v>
      </x:c>
      <x:c r="G77" s="15" t="str">
        <x:v>object detection</x:v>
      </x:c>
      <x:c r="H77" s="15" t="str">
        <x:v>loss</x:v>
      </x:c>
      <x:c r="I77" s="15" t="str">
        <x:v>Per-element focal loss + backward; good ML training kernel</x:v>
      </x:c>
      <x:c r="J77" s="15" t="n">
        <x:v>4</x:v>
      </x:c>
      <x:c r="K77" s="15" t="n">
        <x:v>5</x:v>
      </x:c>
      <x:c r="L77" s="15" t="n">
        <x:v>5</x:v>
      </x:c>
      <x:c r="M77" s="15" t="str">
        <x:v>logits + targets + alpha/gamma -&gt; loss/grad</x:v>
      </x:c>
      <x:c r="N77" s="15" t="str">
        <x:v>PyTorch focal loss reference</x:v>
      </x:c>
      <x:c r="O77" s="15" t="str">
        <x:v>Apache-2.0</x:v>
      </x:c>
      <x:c r="P77" s="15" t="str">
        <x:v>https://github.com/open-mmlab/mmcv/blob/main/LICENSE</x:v>
      </x:c>
      <x:c r="Q77" s="15" t="str">
        <x:v>MMCV has special-license exceptions; this row avoids the NVIDIA-license exceptions listed in LICENSES.md unless later file-level review says otherwise.</x:v>
      </x:c>
      <x:c r="R77" s="15" t="str">
        <x:v>Medium-High</x:v>
      </x:c>
      <x:c r="S77" s="15" t="n">
        <x:f>ROUND(0.45*J77+0.25*K77+0.2*L77+0.1*IF(OR(O77="Apache-2.0",O77="BSD-3-Clause",LEFT(O77,3)="BSD"),5,3),2)</x:f>
        <x:v>4.55</x:v>
      </x:c>
    </x:row>
    <x:row r="78" ht="54" customHeight="1">
      <x:c r="A78" s="15" t="str">
        <x:v>K077</x:v>
      </x:c>
      <x:c r="B78" s="15" t="str">
        <x:v>open-mmlab/mmcv</x:v>
      </x:c>
      <x:c r="C78" s="15" t="str">
        <x:v>https://github.com/open-mmlab/mmcv</x:v>
      </x:c>
      <x:c r="D78" s="15" t="str">
        <x:v>https://github.com/open-mmlab/mmcv/blob/main/mmcv/ops/csrc/pytorch/cuda/softmax_focal_loss_cuda.cu</x:v>
      </x:c>
      <x:c r="E78" s="15" t="str">
        <x:v>mmcv/ops/csrc/pytorch/cuda/softmax_focal_loss_cuda.cu</x:v>
      </x:c>
      <x:c r="F78" s="15" t="str">
        <x:v>SoftmaxFocalLoss</x:v>
      </x:c>
      <x:c r="G78" s="15" t="str">
        <x:v>object detection</x:v>
      </x:c>
      <x:c r="H78" s="15" t="str">
        <x:v>loss</x:v>
      </x:c>
      <x:c r="I78" s="15" t="str">
        <x:v>Softmax + focal modulation + backward</x:v>
      </x:c>
      <x:c r="J78" s="15" t="n">
        <x:v>4</x:v>
      </x:c>
      <x:c r="K78" s="15" t="n">
        <x:v>5</x:v>
      </x:c>
      <x:c r="L78" s="15" t="n">
        <x:v>5</x:v>
      </x:c>
      <x:c r="M78" s="15" t="str">
        <x:v>logits + class targets -&gt; loss/grad</x:v>
      </x:c>
      <x:c r="N78" s="15" t="str">
        <x:v>PyTorch reference</x:v>
      </x:c>
      <x:c r="O78" s="15" t="str">
        <x:v>Apache-2.0</x:v>
      </x:c>
      <x:c r="P78" s="15" t="str">
        <x:v>https://github.com/open-mmlab/mmcv/blob/main/LICENSE</x:v>
      </x:c>
      <x:c r="Q78" s="15" t="str">
        <x:v>MMCV has special-license exceptions; this row avoids the NVIDIA-license exceptions listed in LICENSES.md unless later file-level review says otherwise.</x:v>
      </x:c>
      <x:c r="R78" s="15" t="str">
        <x:v>Medium-High</x:v>
      </x:c>
      <x:c r="S78" s="15" t="n">
        <x:f>ROUND(0.45*J78+0.25*K78+0.2*L78+0.1*IF(OR(O78="Apache-2.0",O78="BSD-3-Clause",LEFT(O78,3)="BSD"),5,3),2)</x:f>
        <x:v>4.55</x:v>
      </x:c>
    </x:row>
    <x:row r="79" ht="54" customHeight="1">
      <x:c r="A79" s="15" t="str">
        <x:v>K078</x:v>
      </x:c>
      <x:c r="B79" s="15" t="str">
        <x:v>open-mmlab/mmcv</x:v>
      </x:c>
      <x:c r="C79" s="15" t="str">
        <x:v>https://github.com/open-mmlab/mmcv</x:v>
      </x:c>
      <x:c r="D79" s="15" t="str">
        <x:v>https://github.com/open-mmlab/mmcv/blob/main/mmcv/ops/csrc/pytorch/cuda/three_interpolate_cuda.cu</x:v>
      </x:c>
      <x:c r="E79" s="15" t="str">
        <x:v>mmcv/ops/csrc/pytorch/cuda/three_interpolate_cuda.cu</x:v>
      </x:c>
      <x:c r="F79" s="15" t="str">
        <x:v>ThreeInterpolate</x:v>
      </x:c>
      <x:c r="G79" s="15" t="str">
        <x:v>3D vision</x:v>
      </x:c>
      <x:c r="H79" s="15" t="str">
        <x:v>interpolation</x:v>
      </x:c>
      <x:c r="I79" s="15" t="str">
        <x:v>Weighted interpolation from nearest neighbors</x:v>
      </x:c>
      <x:c r="J79" s="15" t="n">
        <x:v>3</x:v>
      </x:c>
      <x:c r="K79" s="15" t="n">
        <x:v>5</x:v>
      </x:c>
      <x:c r="L79" s="15" t="n">
        <x:v>5</x:v>
      </x:c>
      <x:c r="M79" s="15" t="str">
        <x:v>features + 3-NN indices/weights -&gt; interpolated features</x:v>
      </x:c>
      <x:c r="N79" s="15" t="str">
        <x:v>PyTorch gather*weights reference</x:v>
      </x:c>
      <x:c r="O79" s="15" t="str">
        <x:v>Apache-2.0</x:v>
      </x:c>
      <x:c r="P79" s="15" t="str">
        <x:v>https://github.com/open-mmlab/mmcv/blob/main/LICENSE</x:v>
      </x:c>
      <x:c r="Q79" s="15" t="str">
        <x:v>MMCV has special-license exceptions; this row avoids the NVIDIA-license exceptions listed in LICENSES.md unless later file-level review says otherwise.</x:v>
      </x:c>
      <x:c r="R79" s="15" t="str">
        <x:v>Medium-High</x:v>
      </x:c>
      <x:c r="S79" s="15" t="n">
        <x:f>ROUND(0.45*J79+0.25*K79+0.2*L79+0.1*IF(OR(O79="Apache-2.0",O79="BSD-3-Clause",LEFT(O79,3)="BSD"),5,3),2)</x:f>
        <x:v>4.1</x:v>
      </x:c>
    </x:row>
    <x:row r="80" ht="54" customHeight="1">
      <x:c r="A80" s="15" t="str">
        <x:v>K079</x:v>
      </x:c>
      <x:c r="B80" s="15" t="str">
        <x:v>open-mmlab/mmcv</x:v>
      </x:c>
      <x:c r="C80" s="15" t="str">
        <x:v>https://github.com/open-mmlab/mmcv</x:v>
      </x:c>
      <x:c r="D80" s="15" t="str">
        <x:v>https://github.com/open-mmlab/mmcv/blob/main/mmcv/ops/csrc/pytorch/cuda/three_nn_cuda.cu</x:v>
      </x:c>
      <x:c r="E80" s="15" t="str">
        <x:v>mmcv/ops/csrc/pytorch/cuda/three_nn_cuda.cu</x:v>
      </x:c>
      <x:c r="F80" s="15" t="str">
        <x:v>ThreeNN</x:v>
      </x:c>
      <x:c r="G80" s="15" t="str">
        <x:v>3D vision</x:v>
      </x:c>
      <x:c r="H80" s="15" t="str">
        <x:v>nearest neighbor</x:v>
      </x:c>
      <x:c r="I80" s="15" t="str">
        <x:v>Find 3 nearest neighbors; reduction/top-k</x:v>
      </x:c>
      <x:c r="J80" s="15" t="n">
        <x:v>4</x:v>
      </x:c>
      <x:c r="K80" s="15" t="n">
        <x:v>4</x:v>
      </x:c>
      <x:c r="L80" s="15" t="n">
        <x:v>5</x:v>
      </x:c>
      <x:c r="M80" s="15" t="str">
        <x:v>unknown/known points -&gt; distances + indices</x:v>
      </x:c>
      <x:c r="N80" s="15" t="str">
        <x:v>PyTorch cdist/topk reference</x:v>
      </x:c>
      <x:c r="O80" s="15" t="str">
        <x:v>Apache-2.0</x:v>
      </x:c>
      <x:c r="P80" s="15" t="str">
        <x:v>https://github.com/open-mmlab/mmcv/blob/main/LICENSE</x:v>
      </x:c>
      <x:c r="Q80" s="15" t="str">
        <x:v>MMCV has special-license exceptions; this row avoids the NVIDIA-license exceptions listed in LICENSES.md unless later file-level review says otherwise.</x:v>
      </x:c>
      <x:c r="R80" s="15" t="str">
        <x:v>Medium-High</x:v>
      </x:c>
      <x:c r="S80" s="15" t="n">
        <x:f>ROUND(0.45*J80+0.25*K80+0.2*L80+0.1*IF(OR(O80="Apache-2.0",O80="BSD-3-Clause",LEFT(O80,3)="BSD"),5,3),2)</x:f>
        <x:v>4.3</x:v>
      </x:c>
    </x:row>
    <x:row r="81" ht="54" customHeight="1">
      <x:c r="A81" s="15" t="str">
        <x:v>K080</x:v>
      </x:c>
      <x:c r="B81" s="15" t="str">
        <x:v>pytorch/pytorch</x:v>
      </x:c>
      <x:c r="C81" s="15" t="str">
        <x:v>https://github.com/pytorch/pytorch</x:v>
      </x:c>
      <x:c r="D81" s="15" t="str">
        <x:v>https://github.com/pytorch/pytorch/blob/main/aten/src/ATen/native/cuda/AdaptiveAveragePooling.cu</x:v>
      </x:c>
      <x:c r="E81" s="15" t="str">
        <x:v>aten/src/ATen/native/cuda/AdaptiveAveragePooling.cu</x:v>
      </x:c>
      <x:c r="F81" s="15" t="str">
        <x:v>AdaptiveAveragePooling</x:v>
      </x:c>
      <x:c r="G81" s="15" t="str">
        <x:v>ML vision core</x:v>
      </x:c>
      <x:c r="H81" s="15" t="str">
        <x:v>pooling</x:v>
      </x:c>
      <x:c r="I81" s="15" t="str">
        <x:v>Output-size-dependent pooling; reductions with variable bin sizes</x:v>
      </x:c>
      <x:c r="J81" s="15" t="n">
        <x:v>4</x:v>
      </x:c>
      <x:c r="K81" s="15" t="n">
        <x:v>4</x:v>
      </x:c>
      <x:c r="L81" s="15" t="n">
        <x:v>5</x:v>
      </x:c>
      <x:c r="M81" s="15" t="str">
        <x:v>NCHW tensor + output size -&gt; pooled tensor</x:v>
      </x:c>
      <x:c r="N81" s="15" t="str">
        <x:v>torch CPU adaptive_avg_pool2d reference</x:v>
      </x:c>
      <x:c r="O81" s="15" t="str">
        <x:v>BSD-style / BSD-3-like</x:v>
      </x:c>
      <x:c r="P81" s="15" t="str">
        <x:v>https://github.com/pytorch/pytorch/blob/main/LICENSE</x:v>
      </x:c>
      <x:c r="Q81" s="15" t="str"/>
      <x:c r="R81" s="15" t="str">
        <x:v>High</x:v>
      </x:c>
      <x:c r="S81" s="15" t="n">
        <x:f>ROUND(0.45*J81+0.25*K81+0.2*L81+0.1*IF(OR(O81="Apache-2.0",O81="BSD-3-Clause",LEFT(O81,3)="BSD"),5,3),2)</x:f>
        <x:v>4.3</x:v>
      </x:c>
    </x:row>
    <x:row r="82" ht="54" customHeight="1">
      <x:c r="A82" s="15" t="str">
        <x:v>K081</x:v>
      </x:c>
      <x:c r="B82" s="15" t="str">
        <x:v>pytorch/pytorch</x:v>
      </x:c>
      <x:c r="C82" s="15" t="str">
        <x:v>https://github.com/pytorch/pytorch</x:v>
      </x:c>
      <x:c r="D82" s="15" t="str">
        <x:v>https://github.com/pytorch/pytorch/blob/main/aten/src/ATen/native/cuda/AdaptiveMaxPooling2d.cu</x:v>
      </x:c>
      <x:c r="E82" s="15" t="str">
        <x:v>aten/src/ATen/native/cuda/AdaptiveMaxPooling2d.cu</x:v>
      </x:c>
      <x:c r="F82" s="15" t="str">
        <x:v>AdaptiveMaxPooling2d</x:v>
      </x:c>
      <x:c r="G82" s="15" t="str">
        <x:v>ML vision core</x:v>
      </x:c>
      <x:c r="H82" s="15" t="str">
        <x:v>pooling</x:v>
      </x:c>
      <x:c r="I82" s="15" t="str">
        <x:v>Max + argmax; backward index handling</x:v>
      </x:c>
      <x:c r="J82" s="15" t="n">
        <x:v>4</x:v>
      </x:c>
      <x:c r="K82" s="15" t="n">
        <x:v>4</x:v>
      </x:c>
      <x:c r="L82" s="15" t="n">
        <x:v>5</x:v>
      </x:c>
      <x:c r="M82" s="15" t="str">
        <x:v>NCHW tensor + output size -&gt; pooled values/indices</x:v>
      </x:c>
      <x:c r="N82" s="15" t="str">
        <x:v>torch CPU adaptive_max_pool2d reference</x:v>
      </x:c>
      <x:c r="O82" s="15" t="str">
        <x:v>BSD-style / BSD-3-like</x:v>
      </x:c>
      <x:c r="P82" s="15" t="str">
        <x:v>https://github.com/pytorch/pytorch/blob/main/LICENSE</x:v>
      </x:c>
      <x:c r="Q82" s="15" t="str"/>
      <x:c r="R82" s="15" t="str">
        <x:v>High</x:v>
      </x:c>
      <x:c r="S82" s="15" t="n">
        <x:f>ROUND(0.45*J82+0.25*K82+0.2*L82+0.1*IF(OR(O82="Apache-2.0",O82="BSD-3-Clause",LEFT(O82,3)="BSD"),5,3),2)</x:f>
        <x:v>4.3</x:v>
      </x:c>
    </x:row>
    <x:row r="83" ht="54" customHeight="1">
      <x:c r="A83" s="15" t="str">
        <x:v>K082</x:v>
      </x:c>
      <x:c r="B83" s="15" t="str">
        <x:v>pytorch/pytorch</x:v>
      </x:c>
      <x:c r="C83" s="15" t="str">
        <x:v>https://github.com/pytorch/pytorch</x:v>
      </x:c>
      <x:c r="D83" s="15" t="str">
        <x:v>https://github.com/pytorch/pytorch/blob/main/aten/src/ATen/native/cuda/AveragePool2d.cu</x:v>
      </x:c>
      <x:c r="E83" s="15" t="str">
        <x:v>aten/src/ATen/native/cuda/AveragePool2d.cu</x:v>
      </x:c>
      <x:c r="F83" s="15" t="str">
        <x:v>AveragePool2d</x:v>
      </x:c>
      <x:c r="G83" s="15" t="str">
        <x:v>ML vision core</x:v>
      </x:c>
      <x:c r="H83" s="15" t="str">
        <x:v>pooling</x:v>
      </x:c>
      <x:c r="I83" s="15" t="str">
        <x:v>Kernel/stride/padding/count_include_pad logic</x:v>
      </x:c>
      <x:c r="J83" s="15" t="n">
        <x:v>3</x:v>
      </x:c>
      <x:c r="K83" s="15" t="n">
        <x:v>5</x:v>
      </x:c>
      <x:c r="L83" s="15" t="n">
        <x:v>5</x:v>
      </x:c>
      <x:c r="M83" s="15" t="str">
        <x:v>NCHW tensor + pool params -&gt; pooled tensor</x:v>
      </x:c>
      <x:c r="N83" s="15" t="str">
        <x:v>torch CPU avg_pool2d reference</x:v>
      </x:c>
      <x:c r="O83" s="15" t="str">
        <x:v>BSD-style / BSD-3-like</x:v>
      </x:c>
      <x:c r="P83" s="15" t="str">
        <x:v>https://github.com/pytorch/pytorch/blob/main/LICENSE</x:v>
      </x:c>
      <x:c r="Q83" s="15" t="str"/>
      <x:c r="R83" s="15" t="str">
        <x:v>High</x:v>
      </x:c>
      <x:c r="S83" s="15" t="n">
        <x:f>ROUND(0.45*J83+0.25*K83+0.2*L83+0.1*IF(OR(O83="Apache-2.0",O83="BSD-3-Clause",LEFT(O83,3)="BSD"),5,3),2)</x:f>
        <x:v>4.1</x:v>
      </x:c>
    </x:row>
    <x:row r="84" ht="54" customHeight="1">
      <x:c r="A84" s="15" t="str">
        <x:v>K083</x:v>
      </x:c>
      <x:c r="B84" s="15" t="str">
        <x:v>pytorch/pytorch</x:v>
      </x:c>
      <x:c r="C84" s="15" t="str">
        <x:v>https://github.com/pytorch/pytorch</x:v>
      </x:c>
      <x:c r="D84" s="15" t="str">
        <x:v>https://github.com/pytorch/pytorch/blob/main/aten/src/ATen/native/cuda/MaxPool2d.cu</x:v>
      </x:c>
      <x:c r="E84" s="15" t="str">
        <x:v>aten/src/ATen/native/cuda/MaxPool2d.cu</x:v>
      </x:c>
      <x:c r="F84" s="15" t="str">
        <x:v>MaxPool2d</x:v>
      </x:c>
      <x:c r="G84" s="15" t="str">
        <x:v>ML vision core</x:v>
      </x:c>
      <x:c r="H84" s="15" t="str">
        <x:v>pooling</x:v>
      </x:c>
      <x:c r="I84" s="15" t="str">
        <x:v>Pooling with indices; backward correctness</x:v>
      </x:c>
      <x:c r="J84" s="15" t="n">
        <x:v>4</x:v>
      </x:c>
      <x:c r="K84" s="15" t="n">
        <x:v>5</x:v>
      </x:c>
      <x:c r="L84" s="15" t="n">
        <x:v>5</x:v>
      </x:c>
      <x:c r="M84" s="15" t="str">
        <x:v>NCHW tensor + pool params -&gt; values/indices</x:v>
      </x:c>
      <x:c r="N84" s="15" t="str">
        <x:v>torch CPU max_pool2d reference</x:v>
      </x:c>
      <x:c r="O84" s="15" t="str">
        <x:v>BSD-style / BSD-3-like</x:v>
      </x:c>
      <x:c r="P84" s="15" t="str">
        <x:v>https://github.com/pytorch/pytorch/blob/main/LICENSE</x:v>
      </x:c>
      <x:c r="Q84" s="15" t="str"/>
      <x:c r="R84" s="15" t="str">
        <x:v>High</x:v>
      </x:c>
      <x:c r="S84" s="15" t="n">
        <x:f>ROUND(0.45*J84+0.25*K84+0.2*L84+0.1*IF(OR(O84="Apache-2.0",O84="BSD-3-Clause",LEFT(O84,3)="BSD"),5,3),2)</x:f>
        <x:v>4.55</x:v>
      </x:c>
    </x:row>
    <x:row r="85" ht="54" customHeight="1">
      <x:c r="A85" s="15" t="str">
        <x:v>K084</x:v>
      </x:c>
      <x:c r="B85" s="15" t="str">
        <x:v>pytorch/pytorch</x:v>
      </x:c>
      <x:c r="C85" s="15" t="str">
        <x:v>https://github.com/pytorch/pytorch</x:v>
      </x:c>
      <x:c r="D85" s="15" t="str">
        <x:v>https://github.com/pytorch/pytorch/blob/main/aten/src/ATen/native/cuda/UpSampleBilinear2d.cu</x:v>
      </x:c>
      <x:c r="E85" s="15" t="str">
        <x:v>aten/src/ATen/native/cuda/UpSampleBilinear2d.cu</x:v>
      </x:c>
      <x:c r="F85" s="15" t="str">
        <x:v>UpSampleBilinear2d</x:v>
      </x:c>
      <x:c r="G85" s="15" t="str">
        <x:v>ML vision core</x:v>
      </x:c>
      <x:c r="H85" s="15" t="str">
        <x:v>resize/interpolation</x:v>
      </x:c>
      <x:c r="I85" s="15" t="str">
        <x:v>Bilinear interpolation and align_corners edge cases</x:v>
      </x:c>
      <x:c r="J85" s="15" t="n">
        <x:v>4</x:v>
      </x:c>
      <x:c r="K85" s="15" t="n">
        <x:v>5</x:v>
      </x:c>
      <x:c r="L85" s="15" t="n">
        <x:v>5</x:v>
      </x:c>
      <x:c r="M85" s="15" t="str">
        <x:v>NCHW tensor + output size/scale -&gt; resized tensor</x:v>
      </x:c>
      <x:c r="N85" s="15" t="str">
        <x:v>torch CPU interpolate bilinear</x:v>
      </x:c>
      <x:c r="O85" s="15" t="str">
        <x:v>BSD-style / BSD-3-like</x:v>
      </x:c>
      <x:c r="P85" s="15" t="str">
        <x:v>https://github.com/pytorch/pytorch/blob/main/LICENSE</x:v>
      </x:c>
      <x:c r="Q85" s="15" t="str"/>
      <x:c r="R85" s="15" t="str">
        <x:v>High</x:v>
      </x:c>
      <x:c r="S85" s="15" t="n">
        <x:f>ROUND(0.45*J85+0.25*K85+0.2*L85+0.1*IF(OR(O85="Apache-2.0",O85="BSD-3-Clause",LEFT(O85,3)="BSD"),5,3),2)</x:f>
        <x:v>4.55</x:v>
      </x:c>
    </x:row>
    <x:row r="86" ht="54" customHeight="1">
      <x:c r="A86" s="15" t="str">
        <x:v>K085</x:v>
      </x:c>
      <x:c r="B86" s="15" t="str">
        <x:v>pytorch/pytorch</x:v>
      </x:c>
      <x:c r="C86" s="15" t="str">
        <x:v>https://github.com/pytorch/pytorch</x:v>
      </x:c>
      <x:c r="D86" s="15" t="str">
        <x:v>https://github.com/pytorch/pytorch/blob/main/aten/src/ATen/native/cuda/UpSampleBicubic2d.cu</x:v>
      </x:c>
      <x:c r="E86" s="15" t="str">
        <x:v>aten/src/ATen/native/cuda/UpSampleBicubic2d.cu</x:v>
      </x:c>
      <x:c r="F86" s="15" t="str">
        <x:v>UpSampleBicubic2d</x:v>
      </x:c>
      <x:c r="G86" s="15" t="str">
        <x:v>ML vision core</x:v>
      </x:c>
      <x:c r="H86" s="15" t="str">
        <x:v>resize/interpolation</x:v>
      </x:c>
      <x:c r="I86" s="15" t="str">
        <x:v>Bicubic interpolation; many arithmetic and boundary cases</x:v>
      </x:c>
      <x:c r="J86" s="15" t="n">
        <x:v>4</x:v>
      </x:c>
      <x:c r="K86" s="15" t="n">
        <x:v>5</x:v>
      </x:c>
      <x:c r="L86" s="15" t="n">
        <x:v>5</x:v>
      </x:c>
      <x:c r="M86" s="15" t="str">
        <x:v>NCHW tensor + output size/scale -&gt; resized tensor</x:v>
      </x:c>
      <x:c r="N86" s="15" t="str">
        <x:v>torch CPU interpolate bicubic</x:v>
      </x:c>
      <x:c r="O86" s="15" t="str">
        <x:v>BSD-style / BSD-3-like</x:v>
      </x:c>
      <x:c r="P86" s="15" t="str">
        <x:v>https://github.com/pytorch/pytorch/blob/main/LICENSE</x:v>
      </x:c>
      <x:c r="Q86" s="15" t="str"/>
      <x:c r="R86" s="15" t="str">
        <x:v>High</x:v>
      </x:c>
      <x:c r="S86" s="15" t="n">
        <x:f>ROUND(0.45*J86+0.25*K86+0.2*L86+0.1*IF(OR(O86="Apache-2.0",O86="BSD-3-Clause",LEFT(O86,3)="BSD"),5,3),2)</x:f>
        <x:v>4.55</x:v>
      </x:c>
    </x:row>
    <x:row r="87" ht="54" customHeight="1">
      <x:c r="A87" s="15" t="str">
        <x:v>K086</x:v>
      </x:c>
      <x:c r="B87" s="15" t="str">
        <x:v>pytorch/pytorch</x:v>
      </x:c>
      <x:c r="C87" s="15" t="str">
        <x:v>https://github.com/pytorch/pytorch</x:v>
      </x:c>
      <x:c r="D87" s="15" t="str">
        <x:v>https://github.com/pytorch/pytorch/blob/main/aten/src/ATen/native/cuda/UpSampleNearest2d.cu</x:v>
      </x:c>
      <x:c r="E87" s="15" t="str">
        <x:v>aten/src/ATen/native/cuda/UpSampleNearest2d.cu</x:v>
      </x:c>
      <x:c r="F87" s="15" t="str">
        <x:v>UpSampleNearest2d</x:v>
      </x:c>
      <x:c r="G87" s="15" t="str">
        <x:v>ML vision core</x:v>
      </x:c>
      <x:c r="H87" s="15" t="str">
        <x:v>resize/interpolation</x:v>
      </x:c>
      <x:c r="I87" s="15" t="str">
        <x:v>Nearest interpolation; simple but good baseline</x:v>
      </x:c>
      <x:c r="J87" s="15" t="n">
        <x:v>2</x:v>
      </x:c>
      <x:c r="K87" s="15" t="n">
        <x:v>5</x:v>
      </x:c>
      <x:c r="L87" s="15" t="n">
        <x:v>5</x:v>
      </x:c>
      <x:c r="M87" s="15" t="str">
        <x:v>NCHW tensor + output size/scale -&gt; resized tensor</x:v>
      </x:c>
      <x:c r="N87" s="15" t="str">
        <x:v>torch CPU interpolate nearest</x:v>
      </x:c>
      <x:c r="O87" s="15" t="str">
        <x:v>BSD-style / BSD-3-like</x:v>
      </x:c>
      <x:c r="P87" s="15" t="str">
        <x:v>https://github.com/pytorch/pytorch/blob/main/LICENSE</x:v>
      </x:c>
      <x:c r="Q87" s="15" t="str"/>
      <x:c r="R87" s="15" t="str">
        <x:v>High</x:v>
      </x:c>
      <x:c r="S87" s="15" t="n">
        <x:f>ROUND(0.45*J87+0.25*K87+0.2*L87+0.1*IF(OR(O87="Apache-2.0",O87="BSD-3-Clause",LEFT(O87,3)="BSD"),5,3),2)</x:f>
        <x:v>3.65</x:v>
      </x:c>
    </x:row>
    <x:row r="88" ht="54" customHeight="1">
      <x:c r="A88" s="15" t="str">
        <x:v>K087</x:v>
      </x:c>
      <x:c r="B88" s="15" t="str">
        <x:v>pytorch/pytorch</x:v>
      </x:c>
      <x:c r="C88" s="15" t="str">
        <x:v>https://github.com/pytorch/pytorch</x:v>
      </x:c>
      <x:c r="D88" s="15" t="str">
        <x:v>https://github.com/pytorch/pytorch/blob/main/aten/src/ATen/native/cuda/GridSampler.cu</x:v>
      </x:c>
      <x:c r="E88" s="15" t="str">
        <x:v>aten/src/ATen/native/cuda/GridSampler.cu</x:v>
      </x:c>
      <x:c r="F88" s="15" t="str">
        <x:v>GridSampler</x:v>
      </x:c>
      <x:c r="G88" s="15" t="str">
        <x:v>ML vision core</x:v>
      </x:c>
      <x:c r="H88" s="15" t="str">
        <x:v>geometric transform</x:v>
      </x:c>
      <x:c r="I88" s="15" t="str">
        <x:v>Differentiable sampling, padding modes, align_corners; hard and central</x:v>
      </x:c>
      <x:c r="J88" s="15" t="n">
        <x:v>5</x:v>
      </x:c>
      <x:c r="K88" s="15" t="n">
        <x:v>4</x:v>
      </x:c>
      <x:c r="L88" s="15" t="n">
        <x:v>5</x:v>
      </x:c>
      <x:c r="M88" s="15" t="str">
        <x:v>input tensor + sampling grid -&gt; sampled output</x:v>
      </x:c>
      <x:c r="N88" s="15" t="str">
        <x:v>torch CPU grid_sample reference</x:v>
      </x:c>
      <x:c r="O88" s="15" t="str">
        <x:v>BSD-style / BSD-3-like</x:v>
      </x:c>
      <x:c r="P88" s="15" t="str">
        <x:v>https://github.com/pytorch/pytorch/blob/main/LICENSE</x:v>
      </x:c>
      <x:c r="Q88" s="15" t="str"/>
      <x:c r="R88" s="15" t="str">
        <x:v>High</x:v>
      </x:c>
      <x:c r="S88" s="15" t="n">
        <x:f>ROUND(0.45*J88+0.25*K88+0.2*L88+0.1*IF(OR(O88="Apache-2.0",O88="BSD-3-Clause",LEFT(O88,3)="BSD"),5,3),2)</x:f>
        <x:v>4.75</x:v>
      </x:c>
    </x:row>
    <x:row r="89" ht="54" customHeight="1">
      <x:c r="A89" s="15" t="str">
        <x:v>K088</x:v>
      </x:c>
      <x:c r="B89" s="15" t="str">
        <x:v>pytorch/pytorch</x:v>
      </x:c>
      <x:c r="C89" s="15" t="str">
        <x:v>https://github.com/pytorch/pytorch</x:v>
      </x:c>
      <x:c r="D89" s="15" t="str">
        <x:v>https://github.com/pytorch/pytorch/blob/main/aten/src/ATen/native/cuda/Im2Col.cu</x:v>
      </x:c>
      <x:c r="E89" s="15" t="str">
        <x:v>aten/src/ATen/native/cuda/Im2Col.cu</x:v>
      </x:c>
      <x:c r="F89" s="15" t="str">
        <x:v>Im2Col</x:v>
      </x:c>
      <x:c r="G89" s="15" t="str">
        <x:v>convolution support</x:v>
      </x:c>
      <x:c r="H89" s="15" t="str">
        <x:v>im2col</x:v>
      </x:c>
      <x:c r="I89" s="15" t="str">
        <x:v>Transforms convolution into GEMM; indexing-heavy, easy IO</x:v>
      </x:c>
      <x:c r="J89" s="15" t="n">
        <x:v>4</x:v>
      </x:c>
      <x:c r="K89" s="15" t="n">
        <x:v>5</x:v>
      </x:c>
      <x:c r="L89" s="15" t="n">
        <x:v>5</x:v>
      </x:c>
      <x:c r="M89" s="15" t="str">
        <x:v>NCHW input + kernel/stride/pad/dilation -&gt; columns</x:v>
      </x:c>
      <x:c r="N89" s="15" t="str">
        <x:v>Python unfold/reference</x:v>
      </x:c>
      <x:c r="O89" s="15" t="str">
        <x:v>BSD-style / BSD-3-like</x:v>
      </x:c>
      <x:c r="P89" s="15" t="str">
        <x:v>https://github.com/pytorch/pytorch/blob/main/LICENSE</x:v>
      </x:c>
      <x:c r="Q89" s="15" t="str"/>
      <x:c r="R89" s="15" t="str">
        <x:v>High</x:v>
      </x:c>
      <x:c r="S89" s="15" t="n">
        <x:f>ROUND(0.45*J89+0.25*K89+0.2*L89+0.1*IF(OR(O89="Apache-2.0",O89="BSD-3-Clause",LEFT(O89,3)="BSD"),5,3),2)</x:f>
        <x:v>4.55</x:v>
      </x:c>
    </x:row>
    <x:row r="90" ht="54" customHeight="1">
      <x:c r="A90" s="15" t="str">
        <x:v>K089</x:v>
      </x:c>
      <x:c r="B90" s="15" t="str">
        <x:v>pytorch/pytorch</x:v>
      </x:c>
      <x:c r="C90" s="15" t="str">
        <x:v>https://github.com/pytorch/pytorch</x:v>
      </x:c>
      <x:c r="D90" s="15" t="str">
        <x:v>https://github.com/pytorch/pytorch/blob/main/aten/src/ATen/native/cuda/Col2Im.cu</x:v>
      </x:c>
      <x:c r="E90" s="15" t="str">
        <x:v>aten/src/ATen/native/cuda/Col2Im.cu</x:v>
      </x:c>
      <x:c r="F90" s="15" t="str">
        <x:v>Col2Im</x:v>
      </x:c>
      <x:c r="G90" s="15" t="str">
        <x:v>convolution support</x:v>
      </x:c>
      <x:c r="H90" s="15" t="str">
        <x:v>col2im</x:v>
      </x:c>
      <x:c r="I90" s="15" t="str">
        <x:v>Scatter-add inverse of im2col; atomics/reduction concerns</x:v>
      </x:c>
      <x:c r="J90" s="15" t="n">
        <x:v>4</x:v>
      </x:c>
      <x:c r="K90" s="15" t="n">
        <x:v>5</x:v>
      </x:c>
      <x:c r="L90" s="15" t="n">
        <x:v>5</x:v>
      </x:c>
      <x:c r="M90" s="15" t="str">
        <x:v>columns + image shape/conv params -&gt; reconstructed image gradient</x:v>
      </x:c>
      <x:c r="N90" s="15" t="str">
        <x:v>torch fold/reference</x:v>
      </x:c>
      <x:c r="O90" s="15" t="str">
        <x:v>BSD-style / BSD-3-like</x:v>
      </x:c>
      <x:c r="P90" s="15" t="str">
        <x:v>https://github.com/pytorch/pytorch/blob/main/LICENSE</x:v>
      </x:c>
      <x:c r="Q90" s="15" t="str"/>
      <x:c r="R90" s="15" t="str">
        <x:v>High</x:v>
      </x:c>
      <x:c r="S90" s="15" t="n">
        <x:f>ROUND(0.45*J90+0.25*K90+0.2*L90+0.1*IF(OR(O90="Apache-2.0",O90="BSD-3-Clause",LEFT(O90,3)="BSD"),5,3),2)</x:f>
        <x:v>4.55</x:v>
      </x:c>
    </x:row>
    <x:row r="91" ht="54" customHeight="1">
      <x:c r="A91" s="15" t="str">
        <x:v>K090</x:v>
      </x:c>
      <x:c r="B91" s="15" t="str">
        <x:v>pytorch/vision</x:v>
      </x:c>
      <x:c r="C91" s="15" t="str">
        <x:v>https://github.com/pytorch/vision</x:v>
      </x:c>
      <x:c r="D91" s="15" t="str">
        <x:v>https://github.com/pytorch/vision/blob/main/torchvision/csrc/ops/cuda/nms_kernel.cu</x:v>
      </x:c>
      <x:c r="E91" s="15" t="str">
        <x:v>torchvision/csrc/ops/cuda/nms_kernel.cu</x:v>
      </x:c>
      <x:c r="F91" s="15" t="str">
        <x:v>NMS</x:v>
      </x:c>
      <x:c r="G91" s="15" t="str">
        <x:v>object detection</x:v>
      </x:c>
      <x:c r="H91" s="15" t="str">
        <x:v>postprocessing</x:v>
      </x:c>
      <x:c r="I91" s="15" t="str">
        <x:v>Canonical NMS bitmask kernel; easy IO, hard bit-level details</x:v>
      </x:c>
      <x:c r="J91" s="15" t="n">
        <x:v>4</x:v>
      </x:c>
      <x:c r="K91" s="15" t="n">
        <x:v>5</x:v>
      </x:c>
      <x:c r="L91" s="15" t="n">
        <x:v>5</x:v>
      </x:c>
      <x:c r="M91" s="15" t="str">
        <x:v>boxes + scores + threshold -&gt; kept indices</x:v>
      </x:c>
      <x:c r="N91" s="15" t="str">
        <x:v>Python/torchvision CPU NMS reference</x:v>
      </x:c>
      <x:c r="O91" s="15" t="str">
        <x:v>BSD-3-Clause</x:v>
      </x:c>
      <x:c r="P91" s="15" t="str">
        <x:v>https://github.com/pytorch/vision/blob/main/LICENSE</x:v>
      </x:c>
      <x:c r="Q91" s="15" t="str"/>
      <x:c r="R91" s="15" t="str">
        <x:v>High</x:v>
      </x:c>
      <x:c r="S91" s="15" t="n">
        <x:f>ROUND(0.45*J91+0.25*K91+0.2*L91+0.1*IF(OR(O91="Apache-2.0",O91="BSD-3-Clause",LEFT(O91,3)="BSD"),5,3),2)</x:f>
        <x:v>4.55</x:v>
      </x:c>
    </x:row>
    <x:row r="92" ht="54" customHeight="1">
      <x:c r="A92" s="15" t="str">
        <x:v>K091</x:v>
      </x:c>
      <x:c r="B92" s="15" t="str">
        <x:v>pytorch/vision</x:v>
      </x:c>
      <x:c r="C92" s="15" t="str">
        <x:v>https://github.com/pytorch/vision</x:v>
      </x:c>
      <x:c r="D92" s="15" t="str">
        <x:v>https://github.com/pytorch/vision/blob/main/torchvision/csrc/ops/cuda/roi_align_kernel.cu</x:v>
      </x:c>
      <x:c r="E92" s="15" t="str">
        <x:v>torchvision/csrc/ops/cuda/roi_align_kernel.cu</x:v>
      </x:c>
      <x:c r="F92" s="15" t="str">
        <x:v>ROIAlign</x:v>
      </x:c>
      <x:c r="G92" s="15" t="str">
        <x:v>object detection</x:v>
      </x:c>
      <x:c r="H92" s="15" t="str">
        <x:v>ROI feature sampling</x:v>
      </x:c>
      <x:c r="I92" s="15" t="str">
        <x:v>Bilinear sampling, batch indices, backward kernel</x:v>
      </x:c>
      <x:c r="J92" s="15" t="n">
        <x:v>4</x:v>
      </x:c>
      <x:c r="K92" s="15" t="n">
        <x:v>5</x:v>
      </x:c>
      <x:c r="L92" s="15" t="n">
        <x:v>5</x:v>
      </x:c>
      <x:c r="M92" s="15" t="str">
        <x:v>feature map + ROIs -&gt; pooled features</x:v>
      </x:c>
      <x:c r="N92" s="15" t="str">
        <x:v>torchvision CPU/Python ROIAlign reference</x:v>
      </x:c>
      <x:c r="O92" s="15" t="str">
        <x:v>BSD-3-Clause</x:v>
      </x:c>
      <x:c r="P92" s="15" t="str">
        <x:v>https://github.com/pytorch/vision/blob/main/LICENSE</x:v>
      </x:c>
      <x:c r="Q92" s="15" t="str"/>
      <x:c r="R92" s="15" t="str">
        <x:v>High</x:v>
      </x:c>
      <x:c r="S92" s="15" t="n">
        <x:f>ROUND(0.45*J92+0.25*K92+0.2*L92+0.1*IF(OR(O92="Apache-2.0",O92="BSD-3-Clause",LEFT(O92,3)="BSD"),5,3),2)</x:f>
        <x:v>4.55</x:v>
      </x:c>
    </x:row>
    <x:row r="93" ht="54" customHeight="1">
      <x:c r="A93" s="15" t="str">
        <x:v>K092</x:v>
      </x:c>
      <x:c r="B93" s="15" t="str">
        <x:v>pytorch/vision</x:v>
      </x:c>
      <x:c r="C93" s="15" t="str">
        <x:v>https://github.com/pytorch/vision</x:v>
      </x:c>
      <x:c r="D93" s="15" t="str">
        <x:v>https://github.com/pytorch/vision/blob/main/torchvision/csrc/ops/cuda/roi_pool_kernel.cu</x:v>
      </x:c>
      <x:c r="E93" s="15" t="str">
        <x:v>torchvision/csrc/ops/cuda/roi_pool_kernel.cu</x:v>
      </x:c>
      <x:c r="F93" s="15" t="str">
        <x:v>ROIPool</x:v>
      </x:c>
      <x:c r="G93" s="15" t="str">
        <x:v>object detection</x:v>
      </x:c>
      <x:c r="H93" s="15" t="str">
        <x:v>ROI pooling</x:v>
      </x:c>
      <x:c r="I93" s="15" t="str">
        <x:v>Variable-size ROI max-pool with argmax</x:v>
      </x:c>
      <x:c r="J93" s="15" t="n">
        <x:v>4</x:v>
      </x:c>
      <x:c r="K93" s="15" t="n">
        <x:v>5</x:v>
      </x:c>
      <x:c r="L93" s="15" t="n">
        <x:v>5</x:v>
      </x:c>
      <x:c r="M93" s="15" t="str">
        <x:v>feature map + ROIs -&gt; pooled features/indices</x:v>
      </x:c>
      <x:c r="N93" s="15" t="str">
        <x:v>CPU ROI pool reference</x:v>
      </x:c>
      <x:c r="O93" s="15" t="str">
        <x:v>BSD-3-Clause</x:v>
      </x:c>
      <x:c r="P93" s="15" t="str">
        <x:v>https://github.com/pytorch/vision/blob/main/LICENSE</x:v>
      </x:c>
      <x:c r="Q93" s="15" t="str"/>
      <x:c r="R93" s="15" t="str">
        <x:v>High</x:v>
      </x:c>
      <x:c r="S93" s="15" t="n">
        <x:f>ROUND(0.45*J93+0.25*K93+0.2*L93+0.1*IF(OR(O93="Apache-2.0",O93="BSD-3-Clause",LEFT(O93,3)="BSD"),5,3),2)</x:f>
        <x:v>4.55</x:v>
      </x:c>
    </x:row>
    <x:row r="94" ht="54" customHeight="1">
      <x:c r="A94" s="15" t="str">
        <x:v>K093</x:v>
      </x:c>
      <x:c r="B94" s="15" t="str">
        <x:v>pytorch/vision</x:v>
      </x:c>
      <x:c r="C94" s="15" t="str">
        <x:v>https://github.com/pytorch/vision</x:v>
      </x:c>
      <x:c r="D94" s="15" t="str">
        <x:v>https://github.com/pytorch/vision/blob/main/torchvision/csrc/ops/cuda/ps_roi_align_kernel.cu</x:v>
      </x:c>
      <x:c r="E94" s="15" t="str">
        <x:v>torchvision/csrc/ops/cuda/ps_roi_align_kernel.cu</x:v>
      </x:c>
      <x:c r="F94" s="15" t="str">
        <x:v>PSROIAlign</x:v>
      </x:c>
      <x:c r="G94" s="15" t="str">
        <x:v>instance/seg detection</x:v>
      </x:c>
      <x:c r="H94" s="15" t="str">
        <x:v>position-sensitive ROI</x:v>
      </x:c>
      <x:c r="I94" s="15" t="str">
        <x:v>Position-sensitive bins and bilinear sampling</x:v>
      </x:c>
      <x:c r="J94" s="15" t="n">
        <x:v>5</x:v>
      </x:c>
      <x:c r="K94" s="15" t="n">
        <x:v>4</x:v>
      </x:c>
      <x:c r="L94" s="15" t="n">
        <x:v>4</x:v>
      </x:c>
      <x:c r="M94" s="15" t="str">
        <x:v>feature map + ROIs -&gt; pooled position-sensitive features</x:v>
      </x:c>
      <x:c r="N94" s="15" t="str">
        <x:v>CPU bin/sampling reference</x:v>
      </x:c>
      <x:c r="O94" s="15" t="str">
        <x:v>BSD-3-Clause</x:v>
      </x:c>
      <x:c r="P94" s="15" t="str">
        <x:v>https://github.com/pytorch/vision/blob/main/LICENSE</x:v>
      </x:c>
      <x:c r="Q94" s="15" t="str"/>
      <x:c r="R94" s="15" t="str">
        <x:v>High</x:v>
      </x:c>
      <x:c r="S94" s="15" t="n">
        <x:f>ROUND(0.45*J94+0.25*K94+0.2*L94+0.1*IF(OR(O94="Apache-2.0",O94="BSD-3-Clause",LEFT(O94,3)="BSD"),5,3),2)</x:f>
        <x:v>4.55</x:v>
      </x:c>
    </x:row>
    <x:row r="95" ht="54" customHeight="1">
      <x:c r="A95" s="15" t="str">
        <x:v>K094</x:v>
      </x:c>
      <x:c r="B95" s="15" t="str">
        <x:v>pytorch/vision</x:v>
      </x:c>
      <x:c r="C95" s="15" t="str">
        <x:v>https://github.com/pytorch/vision</x:v>
      </x:c>
      <x:c r="D95" s="15" t="str">
        <x:v>https://github.com/pytorch/vision/blob/main/torchvision/csrc/ops/cuda/ps_roi_pool_kernel.cu</x:v>
      </x:c>
      <x:c r="E95" s="15" t="str">
        <x:v>torchvision/csrc/ops/cuda/ps_roi_pool_kernel.cu</x:v>
      </x:c>
      <x:c r="F95" s="15" t="str">
        <x:v>PSROIPool</x:v>
      </x:c>
      <x:c r="G95" s="15" t="str">
        <x:v>instance/seg detection</x:v>
      </x:c>
      <x:c r="H95" s="15" t="str">
        <x:v>position-sensitive ROI</x:v>
      </x:c>
      <x:c r="I95" s="15" t="str">
        <x:v>Position-sensitive max/avg pooling; indexing-heavy</x:v>
      </x:c>
      <x:c r="J95" s="15" t="n">
        <x:v>5</x:v>
      </x:c>
      <x:c r="K95" s="15" t="n">
        <x:v>4</x:v>
      </x:c>
      <x:c r="L95" s="15" t="n">
        <x:v>4</x:v>
      </x:c>
      <x:c r="M95" s="15" t="str">
        <x:v>feature map + ROIs -&gt; pooled features</x:v>
      </x:c>
      <x:c r="N95" s="15" t="str">
        <x:v>CPU PS ROI pool reference</x:v>
      </x:c>
      <x:c r="O95" s="15" t="str">
        <x:v>BSD-3-Clause</x:v>
      </x:c>
      <x:c r="P95" s="15" t="str">
        <x:v>https://github.com/pytorch/vision/blob/main/LICENSE</x:v>
      </x:c>
      <x:c r="Q95" s="15" t="str"/>
      <x:c r="R95" s="15" t="str">
        <x:v>High</x:v>
      </x:c>
      <x:c r="S95" s="15" t="n">
        <x:f>ROUND(0.45*J95+0.25*K95+0.2*L95+0.1*IF(OR(O95="Apache-2.0",O95="BSD-3-Clause",LEFT(O95,3)="BSD"),5,3),2)</x:f>
        <x:v>4.55</x:v>
      </x:c>
    </x:row>
    <x:row r="96" ht="54" customHeight="1">
      <x:c r="A96" s="15" t="str">
        <x:v>K095</x:v>
      </x:c>
      <x:c r="B96" s="15" t="str">
        <x:v>pytorch/vision</x:v>
      </x:c>
      <x:c r="C96" s="15" t="str">
        <x:v>https://github.com/pytorch/vision</x:v>
      </x:c>
      <x:c r="D96" s="15" t="str">
        <x:v>https://github.com/pytorch/vision/blob/main/torchvision/csrc/ops/cuda/deform_conv2d_kernel.cu</x:v>
      </x:c>
      <x:c r="E96" s="15" t="str">
        <x:v>torchvision/csrc/ops/cuda/deform_conv2d_kernel.cu</x:v>
      </x:c>
      <x:c r="F96" s="15" t="str">
        <x:v>DeformConv2D</x:v>
      </x:c>
      <x:c r="G96" s="15" t="str">
        <x:v>detection / segmentation</x:v>
      </x:c>
      <x:c r="H96" s="15" t="str">
        <x:v>deformable convolution</x:v>
      </x:c>
      <x:c r="I96" s="15" t="str">
        <x:v>Offset/mask sampling + convolution; high-value benchmark</x:v>
      </x:c>
      <x:c r="J96" s="15" t="n">
        <x:v>5</x:v>
      </x:c>
      <x:c r="K96" s="15" t="n">
        <x:v>4</x:v>
      </x:c>
      <x:c r="L96" s="15" t="n">
        <x:v>5</x:v>
      </x:c>
      <x:c r="M96" s="15" t="str">
        <x:v>input + offset + mask + weights -&gt; output</x:v>
      </x:c>
      <x:c r="N96" s="15" t="str">
        <x:v>PyTorch composed reference or torchvision op comparison</x:v>
      </x:c>
      <x:c r="O96" s="15" t="str">
        <x:v>BSD-3-Clause</x:v>
      </x:c>
      <x:c r="P96" s="15" t="str">
        <x:v>https://github.com/pytorch/vision/blob/main/LICENSE</x:v>
      </x:c>
      <x:c r="Q96" s="15" t="str"/>
      <x:c r="R96" s="15" t="str">
        <x:v>High</x:v>
      </x:c>
      <x:c r="S96" s="15" t="n">
        <x:f>ROUND(0.45*J96+0.25*K96+0.2*L96+0.1*IF(OR(O96="Apache-2.0",O96="BSD-3-Clause",LEFT(O96,3)="BSD"),5,3),2)</x:f>
        <x:v>4.75</x:v>
      </x:c>
    </x:row>
    <x:row r="97" ht="54" customHeight="1">
      <x:c r="A97" s="15" t="str">
        <x:v>K096</x:v>
      </x:c>
      <x:c r="B97" s="15" t="str">
        <x:v>facebookresearch/detectron2</x:v>
      </x:c>
      <x:c r="C97" s="15" t="str">
        <x:v>https://github.com/facebookresearch/detectron2</x:v>
      </x:c>
      <x:c r="D97" s="15" t="str">
        <x:v>https://github.com/facebookresearch/detectron2/blob/main/detectron2/layers/csrc/deformable/deform_conv_cuda_kernel.cu</x:v>
      </x:c>
      <x:c r="E97" s="15" t="str">
        <x:v>detectron2/layers/csrc/deformable/deform_conv_cuda_kernel.cu</x:v>
      </x:c>
      <x:c r="F97" s="15" t="str">
        <x:v>DeformConv kernel</x:v>
      </x:c>
      <x:c r="G97" s="15" t="str">
        <x:v>detection / segmentation</x:v>
      </x:c>
      <x:c r="H97" s="15" t="str">
        <x:v>deformable convolution</x:v>
      </x:c>
      <x:c r="I97" s="15" t="str">
        <x:v>Caffe/MSRA-style deform conv kernel; useful alternative implementation</x:v>
      </x:c>
      <x:c r="J97" s="15" t="n">
        <x:v>5</x:v>
      </x:c>
      <x:c r="K97" s="15" t="n">
        <x:v>4</x:v>
      </x:c>
      <x:c r="L97" s="15" t="n">
        <x:v>5</x:v>
      </x:c>
      <x:c r="M97" s="15" t="str">
        <x:v>input, offset, weight -&gt; output/grad</x:v>
      </x:c>
      <x:c r="N97" s="15" t="str">
        <x:v>Detectron2 op or PyTorch composed reference</x:v>
      </x:c>
      <x:c r="O97" s="15" t="str">
        <x:v>Apache-2.0</x:v>
      </x:c>
      <x:c r="P97" s="15" t="str">
        <x:v>https://github.com/facebookresearch/detectron2/blob/main/LICENSE</x:v>
      </x:c>
      <x:c r="Q97" s="15" t="str">
        <x:v>Some deformable kernels contain inherited notices; keep file-level notices when extracting.</x:v>
      </x:c>
      <x:c r="R97" s="15" t="str">
        <x:v>High</x:v>
      </x:c>
      <x:c r="S97" s="15" t="n">
        <x:f>ROUND(0.45*J97+0.25*K97+0.2*L97+0.1*IF(OR(O97="Apache-2.0",O97="BSD-3-Clause",LEFT(O97,3)="BSD"),5,3),2)</x:f>
        <x:v>4.75</x:v>
      </x:c>
    </x:row>
    <x:row r="98" ht="54" customHeight="1">
      <x:c r="A98" s="15" t="str">
        <x:v>K097</x:v>
      </x:c>
      <x:c r="B98" s="15" t="str">
        <x:v>facebookresearch/detectron2</x:v>
      </x:c>
      <x:c r="C98" s="15" t="str">
        <x:v>https://github.com/facebookresearch/detectron2</x:v>
      </x:c>
      <x:c r="D98" s="15" t="str">
        <x:v>https://github.com/facebookresearch/detectron2/blob/main/detectron2/layers/csrc/deformable/deform_conv_cuda.cu</x:v>
      </x:c>
      <x:c r="E98" s="15" t="str">
        <x:v>detectron2/layers/csrc/deformable/deform_conv_cuda.cu</x:v>
      </x:c>
      <x:c r="F98" s="15" t="str">
        <x:v>DeformConv CUDA wrapper</x:v>
      </x:c>
      <x:c r="G98" s="15" t="str">
        <x:v>detection / segmentation</x:v>
      </x:c>
      <x:c r="H98" s="15" t="str">
        <x:v>deformable convolution</x:v>
      </x:c>
      <x:c r="I98" s="15" t="str">
        <x:v>CUDA launcher/wrapper + integration; good extraction test</x:v>
      </x:c>
      <x:c r="J98" s="15" t="n">
        <x:v>4</x:v>
      </x:c>
      <x:c r="K98" s="15" t="n">
        <x:v>3</x:v>
      </x:c>
      <x:c r="L98" s="15" t="n">
        <x:v>4</x:v>
      </x:c>
      <x:c r="M98" s="15" t="str">
        <x:v>input, offset, weight -&gt; output/grad</x:v>
      </x:c>
      <x:c r="N98" s="15" t="str">
        <x:v>Detectron2 op comparison</x:v>
      </x:c>
      <x:c r="O98" s="15" t="str">
        <x:v>Apache-2.0</x:v>
      </x:c>
      <x:c r="P98" s="15" t="str">
        <x:v>https://github.com/facebookresearch/detectron2/blob/main/LICENSE</x:v>
      </x:c>
      <x:c r="Q98" s="15" t="str">
        <x:v>Some deformable kernels contain inherited notices; keep file-level notices when extracting.</x:v>
      </x:c>
      <x:c r="R98" s="15" t="str">
        <x:v>High</x:v>
      </x:c>
      <x:c r="S98" s="15" t="n">
        <x:f>ROUND(0.45*J98+0.25*K98+0.2*L98+0.1*IF(OR(O98="Apache-2.0",O98="BSD-3-Clause",LEFT(O98,3)="BSD"),5,3),2)</x:f>
        <x:v>3.85</x:v>
      </x:c>
    </x:row>
    <x:row r="99" ht="54" customHeight="1">
      <x:c r="A99" s="15" t="str">
        <x:v>K098</x:v>
      </x:c>
      <x:c r="B99" s="15" t="str">
        <x:v>facebookresearch/detectron2</x:v>
      </x:c>
      <x:c r="C99" s="15" t="str">
        <x:v>https://github.com/facebookresearch/detectron2</x:v>
      </x:c>
      <x:c r="D99" s="15" t="str">
        <x:v>https://github.com/facebookresearch/detectron2/blob/main/detectron2/layers/csrc/ROIAlign/ROIAlign_cuda.cu</x:v>
      </x:c>
      <x:c r="E99" s="15" t="str">
        <x:v>detectron2/layers/csrc/ROIAlign/ROIAlign_cuda.cu</x:v>
      </x:c>
      <x:c r="F99" s="15" t="str">
        <x:v>ROIAlign</x:v>
      </x:c>
      <x:c r="G99" s="15" t="str">
        <x:v>object detection</x:v>
      </x:c>
      <x:c r="H99" s="15" t="str">
        <x:v>ROI feature sampling</x:v>
      </x:c>
      <x:c r="I99" s="15" t="str">
        <x:v>Alternative ROIAlign implementation; bilinear interpolation/backward</x:v>
      </x:c>
      <x:c r="J99" s="15" t="n">
        <x:v>4</x:v>
      </x:c>
      <x:c r="K99" s="15" t="n">
        <x:v>4</x:v>
      </x:c>
      <x:c r="L99" s="15" t="n">
        <x:v>5</x:v>
      </x:c>
      <x:c r="M99" s="15" t="str">
        <x:v>feature map + ROIs -&gt; pooled features</x:v>
      </x:c>
      <x:c r="N99" s="15" t="str">
        <x:v>Detectron2/torchvision ROIAlign reference</x:v>
      </x:c>
      <x:c r="O99" s="15" t="str">
        <x:v>Apache-2.0</x:v>
      </x:c>
      <x:c r="P99" s="15" t="str">
        <x:v>https://github.com/facebookresearch/detectron2/blob/main/LICENSE</x:v>
      </x:c>
      <x:c r="Q99" s="15" t="str">
        <x:v>Some deformable kernels contain inherited notices; keep file-level notices when extracting.</x:v>
      </x:c>
      <x:c r="R99" s="15" t="str">
        <x:v>High</x:v>
      </x:c>
      <x:c r="S99" s="15" t="n">
        <x:f>ROUND(0.45*J99+0.25*K99+0.2*L99+0.1*IF(OR(O99="Apache-2.0",O99="BSD-3-Clause",LEFT(O99,3)="BSD"),5,3),2)</x:f>
        <x:v>4.3</x:v>
      </x:c>
    </x:row>
    <x:row r="100" ht="54" customHeight="1">
      <x:c r="A100" s="15" t="str">
        <x:v>K099</x:v>
      </x:c>
      <x:c r="B100" s="15" t="str">
        <x:v>facebookresearch/detectron2</x:v>
      </x:c>
      <x:c r="C100" s="15" t="str">
        <x:v>https://github.com/facebookresearch/detectron2</x:v>
      </x:c>
      <x:c r="D100" s="15" t="str">
        <x:v>https://github.com/facebookresearch/detectron2/blob/main/detectron2/layers/csrc/box_iou_rotated/box_iou_rotated_cuda.cu</x:v>
      </x:c>
      <x:c r="E100" s="15" t="str">
        <x:v>detectron2/layers/csrc/box_iou_rotated/box_iou_rotated_cuda.cu</x:v>
      </x:c>
      <x:c r="F100" s="15" t="str">
        <x:v>BoxIoURotated</x:v>
      </x:c>
      <x:c r="G100" s="15" t="str">
        <x:v>rotated detection</x:v>
      </x:c>
      <x:c r="H100" s="15" t="str">
        <x:v>rotated bbox geometry</x:v>
      </x:c>
      <x:c r="I100" s="15" t="str">
        <x:v>Rotated IoU geometry; standalone and discriminative</x:v>
      </x:c>
      <x:c r="J100" s="15" t="n">
        <x:v>5</x:v>
      </x:c>
      <x:c r="K100" s="15" t="n">
        <x:v>4</x:v>
      </x:c>
      <x:c r="L100" s="15" t="n">
        <x:v>4</x:v>
      </x:c>
      <x:c r="M100" s="15" t="str">
        <x:v>rotated boxes1, boxes2 -&gt; IoU matrix</x:v>
      </x:c>
      <x:c r="N100" s="15" t="str">
        <x:v>CPU polygon IoU reference</x:v>
      </x:c>
      <x:c r="O100" s="15" t="str">
        <x:v>Apache-2.0</x:v>
      </x:c>
      <x:c r="P100" s="15" t="str">
        <x:v>https://github.com/facebookresearch/detectron2/blob/main/LICENSE</x:v>
      </x:c>
      <x:c r="Q100" s="15" t="str">
        <x:v>Some deformable kernels contain inherited notices; keep file-level notices when extracting.</x:v>
      </x:c>
      <x:c r="R100" s="15" t="str">
        <x:v>High</x:v>
      </x:c>
      <x:c r="S100" s="15" t="n">
        <x:f>ROUND(0.45*J100+0.25*K100+0.2*L100+0.1*IF(OR(O100="Apache-2.0",O100="BSD-3-Clause",LEFT(O100,3)="BSD"),5,3),2)</x:f>
        <x:v>4.55</x:v>
      </x:c>
    </x:row>
    <x:row r="101" ht="54" customHeight="1">
      <x:c r="A101" s="15" t="str">
        <x:v>K100</x:v>
      </x:c>
      <x:c r="B101" s="15" t="str">
        <x:v>facebookresearch/detectron2</x:v>
      </x:c>
      <x:c r="C101" s="15" t="str">
        <x:v>https://github.com/facebookresearch/detectron2</x:v>
      </x:c>
      <x:c r="D101" s="15" t="str">
        <x:v>https://github.com/facebookresearch/detectron2/blob/main/detectron2/layers/csrc/nms_rotated/nms_rotated_cuda.cu</x:v>
      </x:c>
      <x:c r="E101" s="15" t="str">
        <x:v>detectron2/layers/csrc/nms_rotated/nms_rotated_cuda.cu</x:v>
      </x:c>
      <x:c r="F101" s="15" t="str">
        <x:v>NMSRotated</x:v>
      </x:c>
      <x:c r="G101" s="15" t="str">
        <x:v>rotated detection</x:v>
      </x:c>
      <x:c r="H101" s="15" t="str">
        <x:v>postprocessing</x:v>
      </x:c>
      <x:c r="I101" s="15" t="str">
        <x:v>Rotated NMS bitmask + geometry; hard but self-contained</x:v>
      </x:c>
      <x:c r="J101" s="15" t="n">
        <x:v>5</x:v>
      </x:c>
      <x:c r="K101" s="15" t="n">
        <x:v>4</x:v>
      </x:c>
      <x:c r="L101" s="15" t="n">
        <x:v>4</x:v>
      </x:c>
      <x:c r="M101" s="15" t="str">
        <x:v>rotated boxes + scores + threshold -&gt; kept indices</x:v>
      </x:c>
      <x:c r="N101" s="15" t="str">
        <x:v>CPU rotated NMS reference</x:v>
      </x:c>
      <x:c r="O101" s="15" t="str">
        <x:v>Apache-2.0</x:v>
      </x:c>
      <x:c r="P101" s="15" t="str">
        <x:v>https://github.com/facebookresearch/detectron2/blob/main/LICENSE</x:v>
      </x:c>
      <x:c r="Q101" s="15" t="str">
        <x:v>Some deformable kernels contain inherited notices; keep file-level notices when extracting.</x:v>
      </x:c>
      <x:c r="R101" s="15" t="str">
        <x:v>High</x:v>
      </x:c>
      <x:c r="S101" s="15" t="n">
        <x:f>ROUND(0.45*J101+0.25*K101+0.2*L101+0.1*IF(OR(O101="Apache-2.0",O101="BSD-3-Clause",LEFT(O101,3)="BSD"),5,3),2)</x:f>
        <x:v>4.55</x:v>
      </x:c>
    </x:row>
  </x:sheetData>
  <x:conditionalFormatting sqref="S2:S101">
    <x:cfRule type="dataBar" priority="1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{713AD48E-886D-1272-73AB-884C42CC0788}</x14:id>
        </x:ext>
      </x:extLst>
    </x:cfRule>
  </x:conditionalFormatting>
  <x:conditionalFormatting sqref="Q2:Q101">
    <x:cfRule type="expression" dxfId="0" priority="2">
      <x:formula>LEN(Q2)&gt;0</x:formula>
    </x:cfRule>
  </x:conditionalFormatting>
  <x:conditionalFormatting sqref="R2:R101">
    <x:cfRule type="expression" dxfId="1" priority="3">
      <x:formula>R2="High"</x:formula>
    </x:cfRule>
    <x:cfRule type="expression" dxfId="2" priority="4">
      <x:formula>R2&lt;&gt;"High"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442e03c97b94d6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13AD48E-886D-1272-73AB-884C42CC0788}">
            <x14:dataBar gradient="1">
              <x14:cfvo type="min"/>
              <x14:cfvo type="max"/>
              <x14:fillColor rgb="70AD47"/>
            </x14:dataBar>
          </x14:cfRule>
          <xm:sqref>S2:S101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4" max="4" width="28" hidden="0" customWidth="1"/>
    <x:col min="5" max="5" width="10" hidden="0" customWidth="1"/>
    <x:col min="6" max="6" width="34" hidden="0" customWidth="1"/>
  </x:cols>
  <x:sheetData>
    <x:row r="1">
      <x:c r="A1" s="19" t="str">
        <x:v>CUDA Kernel Source Collection — Summary</x:v>
      </x:c>
    </x:row>
    <x:row r="3">
      <x:c r="A3" s="23" t="str">
        <x:v>Total candidates</x:v>
      </x:c>
      <x:c r="B3" s="26" t="n">
        <x:f>COUNTA(Top100_Kernels!A2:A101)</x:f>
        <x:v>100</x:v>
      </x:c>
      <x:c r="D3" s="4" t="str">
        <x:v>Repository</x:v>
      </x:c>
      <x:c r="E3" s="4" t="str">
        <x:v>Count</x:v>
      </x:c>
      <x:c r="F3" s="4" t="str">
        <x:v>License group</x:v>
      </x:c>
    </x:row>
    <x:row r="4">
      <x:c r="A4" s="23" t="str">
        <x:v>Average difficulty</x:v>
      </x:c>
      <x:c r="B4" s="26" t="n">
        <x:f>ROUND(AVERAGE(Top100_Kernels!J2:J101),2)</x:f>
        <x:v>4.07</x:v>
      </x:c>
      <x:c r="D4" s="12" t="str">
        <x:v>NVIDIA/DALI</x:v>
      </x:c>
      <x:c r="E4" s="12" t="n">
        <x:f>COUNTIF(Top100_Kernels!B2:B101,"NVIDIA/DALI")</x:f>
        <x:v>24</x:v>
      </x:c>
      <x:c r="F4" s="12" t="str">
        <x:v>Apache-2.0</x:v>
      </x:c>
    </x:row>
    <x:row r="5">
      <x:c r="A5" s="23" t="str">
        <x:v>Average extractability</x:v>
      </x:c>
      <x:c r="B5" s="26" t="n">
        <x:f>ROUND(AVERAGE(Top100_Kernels!K2:K101),2)</x:f>
        <x:v>4.31</x:v>
      </x:c>
      <x:c r="D5" s="12" t="str">
        <x:v>facebookresearch/detectron2</x:v>
      </x:c>
      <x:c r="E5" s="12" t="n">
        <x:f>COUNTIF(Top100_Kernels!B2:B101,"facebookresearch/detectron2")</x:f>
        <x:v>5</x:v>
      </x:c>
      <x:c r="F5" s="12" t="str">
        <x:v>Apache-2.0</x:v>
      </x:c>
    </x:row>
    <x:row r="6">
      <x:c r="A6" s="23" t="str">
        <x:v>Average verification ease</x:v>
      </x:c>
      <x:c r="B6" s="26" t="n">
        <x:f>ROUND(AVERAGE(Top100_Kernels!L2:L101),2)</x:f>
        <x:v>4.68</x:v>
      </x:c>
      <x:c r="D6" s="12" t="str">
        <x:v>open-mmlab/mmcv</x:v>
      </x:c>
      <x:c r="E6" s="12" t="n">
        <x:f>COUNTIF(Top100_Kernels!B2:B101,"open-mmlab/mmcv")</x:f>
        <x:v>35</x:v>
      </x:c>
      <x:c r="F6" s="12" t="str">
        <x:v>Apache-2.0 + special-op caveat</x:v>
      </x:c>
    </x:row>
    <x:row r="7">
      <x:c r="A7" s="23" t="str">
        <x:v>High-confidence paths</x:v>
      </x:c>
      <x:c r="B7" s="26" t="n">
        <x:f>COUNTIF(Top100_Kernels!R2:R101,"High")</x:f>
        <x:v>45</x:v>
      </x:c>
      <x:c r="D7" s="12" t="str">
        <x:v>opencv/opencv_contrib</x:v>
      </x:c>
      <x:c r="E7" s="12" t="n">
        <x:f>COUNTIF(Top100_Kernels!B2:B101,"opencv/opencv_contrib")</x:f>
        <x:v>20</x:v>
      </x:c>
      <x:c r="F7" s="12" t="str">
        <x:v>Apache-2.0 / check contrib notices</x:v>
      </x:c>
    </x:row>
    <x:row r="8">
      <x:c r="A8" s="23" t="str">
        <x:v>Rows requiring extra file-level notice check</x:v>
      </x:c>
      <x:c r="B8" s="26" t="n">
        <x:f>COUNTIF(Top100_Kernels!R2:R101,"Medium-High")+COUNTIF(Top100_Kernels!B2:B101,"facebookresearch/detectron2")</x:f>
        <x:v>60</x:v>
      </x:c>
      <x:c r="D8" s="12" t="str">
        <x:v>pytorch/pytorch</x:v>
      </x:c>
      <x:c r="E8" s="12" t="n">
        <x:f>COUNTIF(Top100_Kernels!B2:B101,"pytorch/pytorch")</x:f>
        <x:v>10</x:v>
      </x:c>
      <x:c r="F8" s="12" t="str">
        <x:v>BSD-style</x:v>
      </x:c>
    </x:row>
    <x:row r="9">
      <x:c r="A9" s="23" t="str">
        <x:v>Recommended first pilot size</x:v>
      </x:c>
      <x:c r="B9" s="26" t="n">
        <x:v>20</x:v>
      </x:c>
      <x:c r="D9" s="12" t="str">
        <x:v>pytorch/vision</x:v>
      </x:c>
      <x:c r="E9" s="12" t="n">
        <x:f>COUNTIF(Top100_Kernels!B2:B101,"pytorch/vision")</x:f>
        <x:v>6</x:v>
      </x:c>
      <x:c r="F9" s="12" t="str">
        <x:v>BSD-3-Clause</x:v>
      </x:c>
    </x:row>
    <x:row r="14">
      <x:c r="A14" s="4" t="str">
        <x:v>Category</x:v>
      </x:c>
      <x:c r="B14" s="4" t="str">
        <x:v>Count</x:v>
      </x:c>
    </x:row>
    <x:row r="15">
      <x:c r="A15" s="12" t="str">
        <x:v>3D ROI pooling</x:v>
      </x:c>
      <x:c r="B15" s="12" t="n">
        <x:f>COUNTIF(Top100_Kernels!H2:H101,"3D ROI pooling")</x:f>
        <x:v>2</x:v>
      </x:c>
    </x:row>
    <x:row r="16">
      <x:c r="A16" s="12" t="str">
        <x:v>ROI feature sampling</x:v>
      </x:c>
      <x:c r="B16" s="12" t="n">
        <x:f>COUNTIF(Top100_Kernels!H2:H101,"ROI feature sampling")</x:f>
        <x:v>4</x:v>
      </x:c>
    </x:row>
    <x:row r="17">
      <x:c r="A17" s="12" t="str">
        <x:v>ROI pooling</x:v>
      </x:c>
      <x:c r="B17" s="12" t="n">
        <x:f>COUNTIF(Top100_Kernels!H2:H101,"ROI pooling")</x:f>
        <x:v>3</x:v>
      </x:c>
    </x:row>
    <x:row r="18">
      <x:c r="A18" s="12" t="str">
        <x:v>bbox geometry</x:v>
      </x:c>
      <x:c r="B18" s="12" t="n">
        <x:f>COUNTIF(Top100_Kernels!H2:H101,"bbox geometry")</x:f>
        <x:v>1</x:v>
      </x:c>
    </x:row>
    <x:row r="19">
      <x:c r="A19" s="12" t="str">
        <x:v>bbox transform</x:v>
      </x:c>
      <x:c r="B19" s="12" t="n">
        <x:f>COUNTIF(Top100_Kernels!H2:H101,"bbox transform")</x:f>
        <x:v>2</x:v>
      </x:c>
    </x:row>
    <x:row r="20">
      <x:c r="A20" s="12" t="str">
        <x:v>bitwise ops</x:v>
      </x:c>
      <x:c r="B20" s="12" t="n">
        <x:f>COUNTIF(Top100_Kernels!H2:H101,"bitwise ops")</x:f>
        <x:v>1</x:v>
      </x:c>
    </x:row>
    <x:row r="21">
      <x:c r="A21" s="12" t="str">
        <x:v>col2im</x:v>
      </x:c>
      <x:c r="B21" s="12" t="n">
        <x:f>COUNTIF(Top100_Kernels!H2:H101,"col2im")</x:f>
        <x:v>1</x:v>
      </x:c>
    </x:row>
    <x:row r="22">
      <x:c r="A22" s="12" t="str">
        <x:v>color conversion</x:v>
      </x:c>
      <x:c r="B22" s="12" t="n">
        <x:f>COUNTIF(Top100_Kernels!H2:H101,"color conversion")</x:f>
        <x:v>2</x:v>
      </x:c>
    </x:row>
    <x:row r="23">
      <x:c r="A23" s="12" t="str">
        <x:v>color transform</x:v>
      </x:c>
      <x:c r="B23" s="12" t="n">
        <x:f>COUNTIF(Top100_Kernels!H2:H101,"color transform")</x:f>
        <x:v>1</x:v>
      </x:c>
    </x:row>
    <x:row r="24">
      <x:c r="A24" s="12" t="str">
        <x:v>compare/mask</x:v>
      </x:c>
      <x:c r="B24" s="12" t="n">
        <x:f>COUNTIF(Top100_Kernels!H2:H101,"compare/mask")</x:f>
        <x:v>1</x:v>
      </x:c>
    </x:row>
    <x:row r="25">
      <x:c r="A25" s="12" t="str">
        <x:v>connected-region expansion</x:v>
      </x:c>
      <x:c r="B25" s="12" t="n">
        <x:f>COUNTIF(Top100_Kernels!H2:H101,"connected-region expansion")</x:f>
        <x:v>1</x:v>
      </x:c>
    </x:row>
    <x:row r="26">
      <x:c r="A26" s="12" t="str">
        <x:v>convolution/filter</x:v>
      </x:c>
      <x:c r="B26" s="12" t="n">
        <x:f>COUNTIF(Top100_Kernels!H2:H101,"convolution/filter")</x:f>
        <x:v>1</x:v>
      </x:c>
    </x:row>
    <x:row r="27">
      <x:c r="A27" s="12" t="str">
        <x:v>cost volume</x:v>
      </x:c>
      <x:c r="B27" s="12" t="n">
        <x:f>COUNTIF(Top100_Kernels!H2:H101,"cost volume")</x:f>
        <x:v>1</x:v>
      </x:c>
    </x:row>
    <x:row r="28">
      <x:c r="A28" s="12" t="str">
        <x:v>crop/slice</x:v>
      </x:c>
      <x:c r="B28" s="12" t="n">
        <x:f>COUNTIF(Top100_Kernels!H2:H101,"crop/slice")</x:f>
        <x:v>1</x:v>
      </x:c>
    </x:row>
    <x:row r="29">
      <x:c r="A29" s="12" t="str">
        <x:v>deformable attention</x:v>
      </x:c>
      <x:c r="B29" s="12" t="n">
        <x:f>COUNTIF(Top100_Kernels!H2:H101,"deformable attention")</x:f>
        <x:v>1</x:v>
      </x:c>
    </x:row>
    <x:row r="30">
      <x:c r="A30" s="12" t="str">
        <x:v>deformable convolution</x:v>
      </x:c>
      <x:c r="B30" s="12" t="n">
        <x:f>COUNTIF(Top100_Kernels!H2:H101,"deformable convolution")</x:f>
        <x:v>5</x:v>
      </x:c>
    </x:row>
    <x:row r="31">
      <x:c r="A31" s="12" t="str">
        <x:v>feature detection</x:v>
      </x:c>
      <x:c r="B31" s="12" t="n">
        <x:f>COUNTIF(Top100_Kernels!H2:H101,"feature detection")</x:f>
        <x:v>3</x:v>
      </x:c>
    </x:row>
    <x:row r="32">
      <x:c r="A32" s="12" t="str">
        <x:v>feature sampling</x:v>
      </x:c>
      <x:c r="B32" s="12" t="n">
        <x:f>COUNTIF(Top100_Kernels!H2:H101,"feature sampling")</x:f>
        <x:v>1</x:v>
      </x:c>
    </x:row>
    <x:row r="33">
      <x:c r="A33" s="12" t="str">
        <x:v>fused preprocessing</x:v>
      </x:c>
      <x:c r="B33" s="12" t="n">
        <x:f>COUNTIF(Top100_Kernels!H2:H101,"fused preprocessing")</x:f>
        <x:v>3</x:v>
      </x:c>
    </x:row>
    <x:row r="34">
      <x:c r="A34" s="12" t="str">
        <x:v>gather/scatter</x:v>
      </x:c>
      <x:c r="B34" s="12" t="n">
        <x:f>COUNTIF(Top100_Kernels!H2:H101,"gather/scatter")</x:f>
        <x:v>2</x:v>
      </x:c>
    </x:row>
    <x:row r="35">
      <x:c r="A35" s="12" t="str">
        <x:v>geometric transform</x:v>
      </x:c>
      <x:c r="B35" s="12" t="n">
        <x:f>COUNTIF(Top100_Kernels!H2:H101,"geometric transform")</x:f>
        <x:v>6</x:v>
      </x:c>
    </x:row>
    <x:row r="36">
      <x:c r="A36" s="12" t="str">
        <x:v>geometry query</x:v>
      </x:c>
      <x:c r="B36" s="12" t="n">
        <x:f>COUNTIF(Top100_Kernels!H2:H101,"geometry query")</x:f>
        <x:v>1</x:v>
      </x:c>
    </x:row>
    <x:row r="37">
      <x:c r="A37" s="12" t="str">
        <x:v>geometry/sort</x:v>
      </x:c>
      <x:c r="B37" s="12" t="n">
        <x:f>COUNTIF(Top100_Kernels!H2:H101,"geometry/sort")</x:f>
        <x:v>1</x:v>
      </x:c>
    </x:row>
    <x:row r="38">
      <x:c r="A38" s="12" t="str">
        <x:v>histogram</x:v>
      </x:c>
      <x:c r="B38" s="12" t="n">
        <x:f>COUNTIF(Top100_Kernels!H2:H101,"histogram")</x:f>
        <x:v>1</x:v>
      </x:c>
    </x:row>
    <x:row r="39">
      <x:c r="A39" s="12" t="str">
        <x:v>histogram/equalization</x:v>
      </x:c>
      <x:c r="B39" s="12" t="n">
        <x:f>COUNTIF(Top100_Kernels!H2:H101,"histogram/equalization")</x:f>
        <x:v>1</x:v>
      </x:c>
    </x:row>
    <x:row r="40">
      <x:c r="A40" s="12" t="str">
        <x:v>im2col</x:v>
      </x:c>
      <x:c r="B40" s="12" t="n">
        <x:f>COUNTIF(Top100_Kernels!H2:H101,"im2col")</x:f>
        <x:v>1</x:v>
      </x:c>
    </x:row>
    <x:row r="41">
      <x:c r="A41" s="12" t="str">
        <x:v>interpolation</x:v>
      </x:c>
      <x:c r="B41" s="12" t="n">
        <x:f>COUNTIF(Top100_Kernels!H2:H101,"interpolation")</x:f>
        <x:v>1</x:v>
      </x:c>
    </x:row>
    <x:row r="42">
      <x:c r="A42" s="12" t="str">
        <x:v>layout transform</x:v>
      </x:c>
      <x:c r="B42" s="12" t="n">
        <x:f>COUNTIF(Top100_Kernels!H2:H101,"layout transform")</x:f>
        <x:v>2</x:v>
      </x:c>
    </x:row>
    <x:row r="43">
      <x:c r="A43" s="12" t="str">
        <x:v>linear transform</x:v>
      </x:c>
      <x:c r="B43" s="12" t="n">
        <x:f>COUNTIF(Top100_Kernels!H2:H101,"linear transform")</x:f>
        <x:v>1</x:v>
      </x:c>
    </x:row>
    <x:row r="44">
      <x:c r="A44" s="12" t="str">
        <x:v>loss</x:v>
      </x:c>
      <x:c r="B44" s="12" t="n">
        <x:f>COUNTIF(Top100_Kernels!H2:H101,"loss")</x:f>
        <x:v>2</x:v>
      </x:c>
    </x:row>
    <x:row r="45">
      <x:c r="A45" s="12" t="str">
        <x:v>morphology</x:v>
      </x:c>
      <x:c r="B45" s="12" t="n">
        <x:f>COUNTIF(Top100_Kernels!H2:H101,"morphology")</x:f>
        <x:v>1</x:v>
      </x:c>
    </x:row>
    <x:row r="46">
      <x:c r="A46" s="12" t="str">
        <x:v>nearest neighbor</x:v>
      </x:c>
      <x:c r="B46" s="12" t="n">
        <x:f>COUNTIF(Top100_Kernels!H2:H101,"nearest neighbor")</x:f>
        <x:v>2</x:v>
      </x:c>
    </x:row>
    <x:row r="47">
      <x:c r="A47" s="12" t="str">
        <x:v>nonlinear filter</x:v>
      </x:c>
      <x:c r="B47" s="12" t="n">
        <x:f>COUNTIF(Top100_Kernels!H2:H101,"nonlinear filter")</x:f>
        <x:v>1</x:v>
      </x:c>
    </x:row>
    <x:row r="48">
      <x:c r="A48" s="12" t="str">
        <x:v>nonlinear warp</x:v>
      </x:c>
      <x:c r="B48" s="12" t="n">
        <x:f>COUNTIF(Top100_Kernels!H2:H101,"nonlinear warp")</x:f>
        <x:v>2</x:v>
      </x:c>
    </x:row>
    <x:row r="49">
      <x:c r="A49" s="12" t="str">
        <x:v>normalize</x:v>
      </x:c>
      <x:c r="B49" s="12" t="n">
        <x:f>COUNTIF(Top100_Kernels!H2:H101,"normalize")</x:f>
        <x:v>1</x:v>
      </x:c>
    </x:row>
    <x:row r="50">
      <x:c r="A50" s="12" t="str">
        <x:v>paste/composite</x:v>
      </x:c>
      <x:c r="B50" s="12" t="n">
        <x:f>COUNTIF(Top100_Kernels!H2:H101,"paste/composite")</x:f>
        <x:v>1</x:v>
      </x:c>
    </x:row>
    <x:row r="51">
      <x:c r="A51" s="12" t="str">
        <x:v>pixel arithmetic</x:v>
      </x:c>
      <x:c r="B51" s="12" t="n">
        <x:f>COUNTIF(Top100_Kernels!H2:H101,"pixel arithmetic")</x:f>
        <x:v>1</x:v>
      </x:c>
    </x:row>
    <x:row r="52">
      <x:c r="A52" s="12" t="str">
        <x:v>pixel grouping</x:v>
      </x:c>
      <x:c r="B52" s="12" t="n">
        <x:f>COUNTIF(Top100_Kernels!H2:H101,"pixel grouping")</x:f>
        <x:v>1</x:v>
      </x:c>
    </x:row>
    <x:row r="53">
      <x:c r="A53" s="12" t="str">
        <x:v>point aggregation</x:v>
      </x:c>
      <x:c r="B53" s="12" t="n">
        <x:f>COUNTIF(Top100_Kernels!H2:H101,"point aggregation")</x:f>
        <x:v>1</x:v>
      </x:c>
    </x:row>
    <x:row r="54">
      <x:c r="A54" s="12" t="str">
        <x:v>point cloud distance</x:v>
      </x:c>
      <x:c r="B54" s="12" t="n">
        <x:f>COUNTIF(Top100_Kernels!H2:H101,"point cloud distance")</x:f>
        <x:v>1</x:v>
      </x:c>
    </x:row>
    <x:row r="55">
      <x:c r="A55" s="12" t="str">
        <x:v>point cloud query</x:v>
      </x:c>
      <x:c r="B55" s="12" t="n">
        <x:f>COUNTIF(Top100_Kernels!H2:H101,"point cloud query")</x:f>
        <x:v>1</x:v>
      </x:c>
    </x:row>
    <x:row r="56">
      <x:c r="A56" s="12" t="str">
        <x:v>point sampling</x:v>
      </x:c>
      <x:c r="B56" s="12" t="n">
        <x:f>COUNTIF(Top100_Kernels!H2:H101,"point sampling")</x:f>
        <x:v>1</x:v>
      </x:c>
    </x:row>
    <x:row r="57">
      <x:c r="A57" s="12" t="str">
        <x:v>polygon geometry</x:v>
      </x:c>
      <x:c r="B57" s="12" t="n">
        <x:f>COUNTIF(Top100_Kernels!H2:H101,"polygon geometry")</x:f>
        <x:v>1</x:v>
      </x:c>
    </x:row>
    <x:row r="58">
      <x:c r="A58" s="12" t="str">
        <x:v>pooling</x:v>
      </x:c>
      <x:c r="B58" s="12" t="n">
        <x:f>COUNTIF(Top100_Kernels!H2:H101,"pooling")</x:f>
        <x:v>4</x:v>
      </x:c>
    </x:row>
    <x:row r="59">
      <x:c r="A59" s="12" t="str">
        <x:v>position-sensitive ROI</x:v>
      </x:c>
      <x:c r="B59" s="12" t="n">
        <x:f>COUNTIF(Top100_Kernels!H2:H101,"position-sensitive ROI")</x:f>
        <x:v>2</x:v>
      </x:c>
    </x:row>
    <x:row r="60">
      <x:c r="A60" s="12" t="str">
        <x:v>postprocessing</x:v>
      </x:c>
      <x:c r="B60" s="12" t="n">
        <x:f>COUNTIF(Top100_Kernels!H2:H101,"postprocessing")</x:f>
        <x:v>4</x:v>
      </x:c>
    </x:row>
    <x:row r="61">
      <x:c r="A61" s="12" t="str">
        <x:v>reduction</x:v>
      </x:c>
      <x:c r="B61" s="12" t="n">
        <x:f>COUNTIF(Top100_Kernels!H2:H101,"reduction")</x:f>
        <x:v>1</x:v>
      </x:c>
    </x:row>
    <x:row r="62">
      <x:c r="A62" s="12" t="str">
        <x:v>resize/crop</x:v>
      </x:c>
      <x:c r="B62" s="12" t="n">
        <x:f>COUNTIF(Top100_Kernels!H2:H101,"resize/crop")</x:f>
        <x:v>1</x:v>
      </x:c>
    </x:row>
    <x:row r="63">
      <x:c r="A63" s="12" t="str">
        <x:v>resize/interpolation</x:v>
      </x:c>
      <x:c r="B63" s="12" t="n">
        <x:f>COUNTIF(Top100_Kernels!H2:H101,"resize/interpolation")</x:f>
        <x:v>5</x:v>
      </x:c>
    </x:row>
    <x:row r="64">
      <x:c r="A64" s="12" t="str">
        <x:v>resize/interpolation backend</x:v>
      </x:c>
      <x:c r="B64" s="12" t="n">
        <x:f>COUNTIF(Top100_Kernels!H2:H101,"resize/interpolation backend")</x:f>
        <x:v>1</x:v>
      </x:c>
    </x:row>
    <x:row r="65">
      <x:c r="A65" s="12" t="str">
        <x:v>rotated bbox geometry</x:v>
      </x:c>
      <x:c r="B65" s="12" t="n">
        <x:f>COUNTIF(Top100_Kernels!H2:H101,"rotated bbox geometry")</x:f>
        <x:v>2</x:v>
      </x:c>
    </x:row>
    <x:row r="66">
      <x:c r="A66" s="12" t="str">
        <x:v>rotated convolution/filter</x:v>
      </x:c>
      <x:c r="B66" s="12" t="n">
        <x:f>COUNTIF(Top100_Kernels!H2:H101,"rotated convolution/filter")</x:f>
        <x:v>1</x:v>
      </x:c>
    </x:row>
    <x:row r="67">
      <x:c r="A67" s="12" t="str">
        <x:v>scatter/reduction</x:v>
      </x:c>
      <x:c r="B67" s="12" t="n">
        <x:f>COUNTIF(Top100_Kernels!H2:H101,"scatter/reduction")</x:f>
        <x:v>1</x:v>
      </x:c>
    </x:row>
    <x:row r="68">
      <x:c r="A68" s="12" t="str">
        <x:v>separable convolution</x:v>
      </x:c>
      <x:c r="B68" s="12" t="n">
        <x:f>COUNTIF(Top100_Kernels!H2:H101,"separable convolution")</x:f>
        <x:v>3</x:v>
      </x:c>
    </x:row>
    <x:row r="69">
      <x:c r="A69" s="12" t="str">
        <x:v>sequence indexing</x:v>
      </x:c>
      <x:c r="B69" s="12" t="n">
        <x:f>COUNTIF(Top100_Kernels!H2:H101,"sequence indexing")</x:f>
        <x:v>1</x:v>
      </x:c>
    </x:row>
    <x:row r="70">
      <x:c r="A70" s="12" t="str">
        <x:v>slice</x:v>
      </x:c>
      <x:c r="B70" s="12" t="n">
        <x:f>COUNTIF(Top100_Kernels!H2:H101,"slice")</x:f>
        <x:v>1</x:v>
      </x:c>
    </x:row>
    <x:row r="71">
      <x:c r="A71" s="12" t="str">
        <x:v>slice backend</x:v>
      </x:c>
      <x:c r="B71" s="12" t="n">
        <x:f>COUNTIF(Top100_Kernels!H2:H101,"slice backend")</x:f>
        <x:v>1</x:v>
      </x:c>
    </x:row>
    <x:row r="72">
      <x:c r="A72" s="12" t="str">
        <x:v>sparse/masked convolution</x:v>
      </x:c>
      <x:c r="B72" s="12" t="n">
        <x:f>COUNTIF(Top100_Kernels!H2:H101,"sparse/masked convolution")</x:f>
        <x:v>1</x:v>
      </x:c>
    </x:row>
    <x:row r="73">
      <x:c r="A73" s="12" t="str">
        <x:v>type conversion</x:v>
      </x:c>
      <x:c r="B73" s="12" t="n">
        <x:f>COUNTIF(Top100_Kernels!H2:H101,"type conversion")</x:f>
        <x:v>1</x:v>
      </x:c>
    </x:row>
    <x:row r="74">
      <x:c r="A74" s="12" t="str">
        <x:v>upsampling</x:v>
      </x:c>
      <x:c r="B74" s="12" t="n">
        <x:f>COUNTIF(Top100_Kernels!H2:H101,"upsampling")</x:f>
        <x:v>1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52" hidden="0" customWidth="1"/>
    <x:col min="4" max="4" width="70" hidden="0" customWidth="1"/>
  </x:cols>
  <x:sheetData>
    <x:row r="1">
      <x:c r="A1" s="4" t="str">
        <x:v>Repository</x:v>
      </x:c>
      <x:c r="B1" s="4" t="str">
        <x:v>License / status</x:v>
      </x:c>
      <x:c r="C1" s="4" t="str">
        <x:v>Evidence URL</x:v>
      </x:c>
      <x:c r="D1" s="4" t="str">
        <x:v>Notes for extraction</x:v>
      </x:c>
    </x:row>
    <x:row r="2" ht="58" customHeight="1">
      <x:c r="A2" s="12" t="str">
        <x:v>CVCUDA/CV-CUDA</x:v>
      </x:c>
      <x:c r="B2" s="12" t="str">
        <x:v>Apache-2.0</x:v>
      </x:c>
      <x:c r="C2" s="12" t="str">
        <x:v>https://github.com/CVCUDA/CV-CUDA</x:v>
      </x:c>
      <x:c r="D2" s="12" t="str">
        <x:v>Not used in Top100 because source-file paths need clone-level verification; good future source for 45+ CV operators.</x:v>
      </x:c>
    </x:row>
    <x:row r="3" ht="58" customHeight="1">
      <x:c r="A3" s="12" t="str">
        <x:v>NVIDIA/DALI</x:v>
      </x:c>
      <x:c r="B3" s="12" t="str">
        <x:v>Apache-2.0</x:v>
      </x:c>
      <x:c r="C3" s="12" t="str">
        <x:v>https://github.com/NVIDIA/DALI/blob/main/LICENSE</x:v>
      </x:c>
      <x:c r="D3" s="12" t="str">
        <x:v>Use source file headers and keep notices.</x:v>
      </x:c>
    </x:row>
    <x:row r="4" ht="58" customHeight="1">
      <x:c r="A4" s="12" t="str">
        <x:v>opencv/opencv_contrib</x:v>
      </x:c>
      <x:c r="B4" s="12" t="str">
        <x:v>Apache-2.0 on 4.x; check contrib notices</x:v>
      </x:c>
      <x:c r="C4" s="12" t="str">
        <x:v>https://github.com/opencv/opencv_contrib/blob/4.x/LICENSE</x:v>
      </x:c>
      <x:c r="D4" s="12" t="str">
        <x:v>Contrib repository can include module-level third-party obligations; keep notices and scan files before redistribution.</x:v>
      </x:c>
    </x:row>
    <x:row r="5" ht="58" customHeight="1">
      <x:c r="A5" s="12" t="str">
        <x:v>open-mmlab/mmcv</x:v>
      </x:c>
      <x:c r="B5" s="12" t="str">
        <x:v>Apache-2.0 with explicit special-license exceptions</x:v>
      </x:c>
      <x:c r="C5" s="12" t="str">
        <x:v>https://github.com/open-mmlab/mmcv/blob/main/LICENSES.md</x:v>
      </x:c>
      <x:c r="D5" s="12" t="str">
        <x:v>Avoid or separately review upfirdn2d, fused_leaky_relu, bias_act, filtered_lrelu, conv2d_gradfix because MMCV lists them as NVIDIA License.</x:v>
      </x:c>
    </x:row>
    <x:row r="6" ht="58" customHeight="1">
      <x:c r="A6" s="12" t="str">
        <x:v>pytorch/pytorch</x:v>
      </x:c>
      <x:c r="B6" s="12" t="str">
        <x:v>BSD-style</x:v>
      </x:c>
      <x:c r="C6" s="12" t="str">
        <x:v>https://github.com/pytorch/pytorch/blob/main/LICENSE</x:v>
      </x:c>
      <x:c r="D6" s="12" t="str">
        <x:v>Good for ML-core kernels; heavy framework dependencies may need wrapper extraction.</x:v>
      </x:c>
    </x:row>
    <x:row r="7" ht="58" customHeight="1">
      <x:c r="A7" s="12" t="str">
        <x:v>pytorch/vision</x:v>
      </x:c>
      <x:c r="B7" s="12" t="str">
        <x:v>BSD-3-Clause</x:v>
      </x:c>
      <x:c r="C7" s="12" t="str">
        <x:v>https://github.com/pytorch/vision/blob/main/LICENSE</x:v>
      </x:c>
      <x:c r="D7" s="12" t="str">
        <x:v>Detection ops are self-contained and good for first pilot.</x:v>
      </x:c>
    </x:row>
    <x:row r="8" ht="58" customHeight="1">
      <x:c r="A8" s="12" t="str">
        <x:v>facebookresearch/detectron2</x:v>
      </x:c>
      <x:c r="B8" s="12" t="str">
        <x:v>Apache-2.0</x:v>
      </x:c>
      <x:c r="C8" s="12" t="str">
        <x:v>https://github.com/facebookresearch/detectron2/blob/main/LICENSE</x:v>
      </x:c>
      <x:c r="D8" s="12" t="str">
        <x:v>Some files contain inherited Caffe/MSRA notices; preserve file-level notices.</x:v>
      </x:c>
    </x:row>
    <x:row r="9" ht="58" customHeight="1">
      <x:c r="A9" s="12" t="str">
        <x:v>NVIDIA/cutlass</x:v>
      </x:c>
      <x:c r="B9" s="12" t="str">
        <x:v>BSD-3-Clause</x:v>
      </x:c>
      <x:c r="C9" s="12" t="str">
        <x:v>https://github.com/NVIDIA/cutlass/blob/main/LICENSE.txt</x:v>
      </x:c>
      <x:c r="D9" s="12" t="str">
        <x:v>Excellent high-end convolution source; not in Top100 because templates are less extractable as standalone kernel benchmarks.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88" hidden="0" customWidth="1"/>
  </x:cols>
  <x:sheetData>
    <x:row r="1">
      <x:c r="A1" s="4" t="str">
        <x:v>Step</x:v>
      </x:c>
      <x:c r="B1" s="4" t="str">
        <x:v>Action</x:v>
      </x:c>
      <x:c r="C1" s="4" t="str">
        <x:v>Concrete recommendation</x:v>
      </x:c>
    </x:row>
    <x:row r="2" ht="50" customHeight="1">
      <x:c r="A2" s="12" t="n">
        <x:v>1</x:v>
      </x:c>
      <x:c r="B2" s="12" t="str">
        <x:v>Clone and pin revision</x:v>
      </x:c>
      <x:c r="C2" s="12" t="str">
        <x:v>For each repo, pin a commit hash before extraction. The spreadsheet uses current default branch paths; do not benchmark a moving branch.</x:v>
      </x:c>
    </x:row>
    <x:row r="3" ht="50" customHeight="1">
      <x:c r="A3" s="12" t="n">
        <x:v>2</x:v>
      </x:c>
      <x:c r="B3" s="12" t="str">
        <x:v>File-level license scan</x:v>
      </x:c>
      <x:c r="C3" s="12" t="str">
        <x:v>Before copying code, run a file-level license/header scan. Keep original copyright and license notices.</x:v>
      </x:c>
    </x:row>
    <x:row r="4" ht="50" customHeight="1">
      <x:c r="A4" s="12" t="n">
        <x:v>3</x:v>
      </x:c>
      <x:c r="B4" s="12" t="str">
        <x:v>Start with easiest high-value groups</x:v>
      </x:c>
      <x:c r="C4" s="12" t="str">
        <x:v>First 20: torchvision NMS/ROIAlign/DeformConv, PyTorch pooling/upsample/GridSampler/Im2Col, OpenCV resize/filter2d/CLAHE, DALI resize/crop_mirror_normalize.</x:v>
      </x:c>
    </x:row>
    <x:row r="5" ht="50" customHeight="1">
      <x:c r="A5" s="12" t="n">
        <x:v>4</x:v>
      </x:c>
      <x:c r="B5" s="12" t="str">
        <x:v>Make standalone harness</x:v>
      </x:c>
      <x:c r="C5" s="12" t="str">
        <x:v>Define small deterministic input generators, CPU reference, GPU CUDA baseline, migrated SYCL output, tolerance and timing.</x:v>
      </x:c>
    </x:row>
    <x:row r="6" ht="50" customHeight="1">
      <x:c r="A6" s="12" t="n">
        <x:v>5</x:v>
      </x:c>
      <x:c r="B6" s="12" t="str">
        <x:v>Use difficulty tiers</x:v>
      </x:c>
      <x:c r="C6" s="12" t="str">
        <x:v>Tier 1: map/elementwise/resize. Tier 2: pooling/filtering/ROI. Tier 3: deformable conv, point cloud, rotated geometry, histograms, fused preprocessing.</x:v>
      </x:c>
    </x:row>
    <x:row r="7" ht="50" customHeight="1">
      <x:c r="A7" s="12" t="n">
        <x:v>6</x:v>
      </x:c>
      <x:c r="B7" s="12" t="str">
        <x:v>Validation rule</x:v>
      </x:c>
      <x:c r="C7" s="12" t="str">
        <x:v>For integer/image ops use exact match when possible. For interpolation/float use atol/rtol by dtype and compare boundary cases separately.</x:v>
      </x:c>
    </x:row>
    <x:row r="8" ht="50" customHeight="1">
      <x:c r="A8" s="12" t="n">
        <x:v>7</x:v>
      </x:c>
      <x:c r="B8" s="12" t="str">
        <x:v>Performance rule</x:v>
      </x:c>
      <x:c r="C8" s="12" t="str">
        <x:v>Record compile success, run success, correctness, CUDA time, SYCL time, speed ratio, notes on memory/layout changes.</x:v>
      </x:c>
    </x:row>
  </x:sheetData>
  <x:pageMargins left="0.7" right="0.7" top="0.75" bottom="0.75" header="0.3" footer="0.3"/>
</x:worksheet>
</file>